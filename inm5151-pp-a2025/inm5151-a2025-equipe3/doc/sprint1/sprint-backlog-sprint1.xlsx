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am-my.sharepoint.com/personal/ed791977_ens_uqam_ca/Documents/"/>
    </mc:Choice>
  </mc:AlternateContent>
  <xr:revisionPtr revIDLastSave="0" documentId="8_{EA6E3081-0139-4B5A-9A84-283CFCD0F1F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acklog" sheetId="1" r:id="rId1"/>
    <sheet name="team" sheetId="2" r:id="rId2"/>
  </sheets>
  <definedNames>
    <definedName name="_xlnm.Print_Area" localSheetId="0">backlog!$A$6:$AY$63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6" i="1" l="1"/>
  <c r="BF36" i="1"/>
  <c r="BE36" i="1"/>
  <c r="BD36" i="1"/>
  <c r="BC36" i="1"/>
  <c r="BB36" i="1"/>
  <c r="AB35" i="1"/>
  <c r="E43" i="1"/>
  <c r="BD56" i="1"/>
  <c r="BD57" i="1"/>
  <c r="BB51" i="1"/>
  <c r="BB52" i="1"/>
  <c r="BB53" i="1"/>
  <c r="BB50" i="1"/>
  <c r="BD50" i="1" s="1"/>
  <c r="BD52" i="1"/>
  <c r="BE52" i="1" s="1"/>
  <c r="AX53" i="1"/>
  <c r="AP38" i="1"/>
  <c r="AT39" i="1"/>
  <c r="AR38" i="1"/>
  <c r="AX51" i="1"/>
  <c r="L52" i="1"/>
  <c r="J52" i="1"/>
  <c r="N52" i="1"/>
  <c r="P52" i="1" s="1"/>
  <c r="R52" i="1" s="1"/>
  <c r="AX50" i="1"/>
  <c r="AZ50" i="1" s="1"/>
  <c r="AD50" i="1"/>
  <c r="J50" i="1"/>
  <c r="P50" i="1"/>
  <c r="R50" i="1" s="1"/>
  <c r="J53" i="1"/>
  <c r="L53" i="1"/>
  <c r="N53" i="1" s="1"/>
  <c r="P53" i="1" s="1"/>
  <c r="R53" i="1" s="1"/>
  <c r="T53" i="1" s="1"/>
  <c r="V53" i="1" s="1"/>
  <c r="X53" i="1" s="1"/>
  <c r="Z53" i="1" s="1"/>
  <c r="AB53" i="1" s="1"/>
  <c r="AD53" i="1" s="1"/>
  <c r="AF53" i="1" s="1"/>
  <c r="AH53" i="1" s="1"/>
  <c r="AJ53" i="1" s="1"/>
  <c r="AL53" i="1" s="1"/>
  <c r="AN53" i="1" s="1"/>
  <c r="AP53" i="1" s="1"/>
  <c r="AR53" i="1" s="1"/>
  <c r="AT53" i="1" s="1"/>
  <c r="AV53" i="1" s="1"/>
  <c r="J51" i="1"/>
  <c r="L51" i="1"/>
  <c r="N51" i="1" s="1"/>
  <c r="P51" i="1" s="1"/>
  <c r="R51" i="1" s="1"/>
  <c r="T51" i="1" s="1"/>
  <c r="V51" i="1" s="1"/>
  <c r="X51" i="1" s="1"/>
  <c r="Z51" i="1" s="1"/>
  <c r="AB51" i="1" s="1"/>
  <c r="AD51" i="1" s="1"/>
  <c r="AF51" i="1" s="1"/>
  <c r="AH51" i="1" s="1"/>
  <c r="AJ51" i="1" s="1"/>
  <c r="AL51" i="1" s="1"/>
  <c r="AN51" i="1" s="1"/>
  <c r="AP51" i="1" s="1"/>
  <c r="AR51" i="1" s="1"/>
  <c r="AT51" i="1" s="1"/>
  <c r="AV51" i="1" s="1"/>
  <c r="AD36" i="1"/>
  <c r="AD34" i="1"/>
  <c r="AD33" i="1"/>
  <c r="BD51" i="1"/>
  <c r="BB34" i="1"/>
  <c r="BE34" i="1" s="1"/>
  <c r="D45" i="1"/>
  <c r="E46" i="1"/>
  <c r="E45" i="1" s="1"/>
  <c r="BB24" i="1"/>
  <c r="BG24" i="1" s="1"/>
  <c r="BB25" i="1"/>
  <c r="BG25" i="1" s="1"/>
  <c r="BB23" i="1"/>
  <c r="BG23" i="1" s="1"/>
  <c r="BB22" i="1"/>
  <c r="BG22" i="1" s="1"/>
  <c r="J23" i="1"/>
  <c r="L23" i="1" s="1"/>
  <c r="N23" i="1" s="1"/>
  <c r="P23" i="1" s="1"/>
  <c r="R23" i="1" s="1"/>
  <c r="T23" i="1" s="1"/>
  <c r="V23" i="1" s="1"/>
  <c r="X23" i="1" s="1"/>
  <c r="Z23" i="1" s="1"/>
  <c r="AB23" i="1" s="1"/>
  <c r="AD23" i="1" s="1"/>
  <c r="AF23" i="1" s="1"/>
  <c r="AH23" i="1" s="1"/>
  <c r="AJ23" i="1" s="1"/>
  <c r="AL23" i="1" s="1"/>
  <c r="AN23" i="1" s="1"/>
  <c r="AP23" i="1" s="1"/>
  <c r="AR23" i="1" s="1"/>
  <c r="AT23" i="1" s="1"/>
  <c r="AX23" i="1"/>
  <c r="AV41" i="1"/>
  <c r="BB38" i="1"/>
  <c r="BE38" i="1" s="1"/>
  <c r="J36" i="1"/>
  <c r="L36" i="1" s="1"/>
  <c r="N36" i="1" s="1"/>
  <c r="P36" i="1" s="1"/>
  <c r="R36" i="1" s="1"/>
  <c r="T36" i="1" s="1"/>
  <c r="V36" i="1" s="1"/>
  <c r="X36" i="1" s="1"/>
  <c r="AB36" i="1" s="1"/>
  <c r="AF36" i="1" s="1"/>
  <c r="AH36" i="1" s="1"/>
  <c r="AJ36" i="1" s="1"/>
  <c r="J42" i="1"/>
  <c r="L42" i="1" s="1"/>
  <c r="N42" i="1" s="1"/>
  <c r="P42" i="1" s="1"/>
  <c r="R42" i="1" s="1"/>
  <c r="T42" i="1" s="1"/>
  <c r="V42" i="1" s="1"/>
  <c r="X42" i="1" s="1"/>
  <c r="Z42" i="1" s="1"/>
  <c r="AB42" i="1" s="1"/>
  <c r="AD42" i="1" s="1"/>
  <c r="AF42" i="1" s="1"/>
  <c r="AH42" i="1" s="1"/>
  <c r="AJ42" i="1" s="1"/>
  <c r="AL42" i="1" s="1"/>
  <c r="AN42" i="1" s="1"/>
  <c r="AP42" i="1" s="1"/>
  <c r="AR42" i="1" s="1"/>
  <c r="AT42" i="1" s="1"/>
  <c r="AV42" i="1" s="1"/>
  <c r="AX42" i="1" s="1"/>
  <c r="AZ42" i="1" s="1"/>
  <c r="BB33" i="1"/>
  <c r="BE33" i="1" s="1"/>
  <c r="BB12" i="1"/>
  <c r="BC12" i="1" s="1"/>
  <c r="BD12" i="1" s="1"/>
  <c r="BE12" i="1" s="1"/>
  <c r="BB35" i="1"/>
  <c r="BE35" i="1" s="1"/>
  <c r="AF34" i="1"/>
  <c r="BD29" i="1"/>
  <c r="BE29" i="1" s="1"/>
  <c r="BD34" i="1"/>
  <c r="Z34" i="1"/>
  <c r="AB34" i="1" s="1"/>
  <c r="J33" i="1"/>
  <c r="L33" i="1" s="1"/>
  <c r="N33" i="1" s="1"/>
  <c r="P33" i="1" s="1"/>
  <c r="R33" i="1" s="1"/>
  <c r="V33" i="1" s="1"/>
  <c r="X33" i="1" s="1"/>
  <c r="AF33" i="1" s="1"/>
  <c r="AH33" i="1" s="1"/>
  <c r="AJ33" i="1" s="1"/>
  <c r="AL33" i="1" s="1"/>
  <c r="AN33" i="1" s="1"/>
  <c r="AP33" i="1" s="1"/>
  <c r="AR33" i="1" s="1"/>
  <c r="AT33" i="1" s="1"/>
  <c r="AV33" i="1" s="1"/>
  <c r="AX33" i="1" s="1"/>
  <c r="AZ33" i="1" s="1"/>
  <c r="BB13" i="1"/>
  <c r="BB15" i="1"/>
  <c r="BC15" i="1" s="1"/>
  <c r="BD15" i="1" s="1"/>
  <c r="BE15" i="1" s="1"/>
  <c r="J15" i="1"/>
  <c r="L15" i="1" s="1"/>
  <c r="N15" i="1" s="1"/>
  <c r="P15" i="1" s="1"/>
  <c r="R15" i="1" s="1"/>
  <c r="T15" i="1" s="1"/>
  <c r="V15" i="1" s="1"/>
  <c r="X15" i="1" s="1"/>
  <c r="Z15" i="1" s="1"/>
  <c r="AB15" i="1" s="1"/>
  <c r="AD15" i="1" s="1"/>
  <c r="AF15" i="1" s="1"/>
  <c r="AH15" i="1" s="1"/>
  <c r="AJ15" i="1" s="1"/>
  <c r="AL15" i="1" s="1"/>
  <c r="AN15" i="1" s="1"/>
  <c r="AP15" i="1" s="1"/>
  <c r="AR15" i="1" s="1"/>
  <c r="AT15" i="1" s="1"/>
  <c r="AV15" i="1" s="1"/>
  <c r="AX15" i="1" s="1"/>
  <c r="AZ15" i="1" s="1"/>
  <c r="H15" i="1"/>
  <c r="E10" i="1"/>
  <c r="L44" i="1"/>
  <c r="BB30" i="1"/>
  <c r="BG30" i="1" s="1"/>
  <c r="BB31" i="1"/>
  <c r="BB39" i="1"/>
  <c r="BE39" i="1" s="1"/>
  <c r="BB41" i="1"/>
  <c r="BE41" i="1" s="1"/>
  <c r="BB42" i="1"/>
  <c r="BE42" i="1" s="1"/>
  <c r="BB43" i="1"/>
  <c r="BB44" i="1"/>
  <c r="BF44" i="1" s="1"/>
  <c r="BB46" i="1"/>
  <c r="BB47" i="1"/>
  <c r="BC47" i="1" s="1"/>
  <c r="BD47" i="1" s="1"/>
  <c r="BB48" i="1"/>
  <c r="BC51" i="1"/>
  <c r="BF53" i="1"/>
  <c r="BB55" i="1"/>
  <c r="BD55" i="1" s="1"/>
  <c r="BB56" i="1"/>
  <c r="BB57" i="1"/>
  <c r="BB59" i="1"/>
  <c r="BB60" i="1"/>
  <c r="BB61" i="1"/>
  <c r="BB63" i="1"/>
  <c r="BB64" i="1"/>
  <c r="BB65" i="1"/>
  <c r="BB27" i="1"/>
  <c r="BG27" i="1" s="1"/>
  <c r="BB28" i="1"/>
  <c r="BG28" i="1" s="1"/>
  <c r="P44" i="1"/>
  <c r="R44" i="1" s="1"/>
  <c r="T44" i="1" s="1"/>
  <c r="V44" i="1" s="1"/>
  <c r="X44" i="1" s="1"/>
  <c r="Z44" i="1" s="1"/>
  <c r="AB44" i="1" s="1"/>
  <c r="AD44" i="1" s="1"/>
  <c r="AF44" i="1" s="1"/>
  <c r="J47" i="1"/>
  <c r="L47" i="1" s="1"/>
  <c r="N47" i="1" s="1"/>
  <c r="P47" i="1" s="1"/>
  <c r="R47" i="1" s="1"/>
  <c r="T47" i="1" s="1"/>
  <c r="V47" i="1" s="1"/>
  <c r="X47" i="1" s="1"/>
  <c r="Z47" i="1" s="1"/>
  <c r="AB47" i="1" s="1"/>
  <c r="AD47" i="1" s="1"/>
  <c r="AF47" i="1" s="1"/>
  <c r="AH47" i="1" s="1"/>
  <c r="AJ47" i="1" s="1"/>
  <c r="AL47" i="1" s="1"/>
  <c r="AN47" i="1" s="1"/>
  <c r="AP47" i="1" s="1"/>
  <c r="AR47" i="1" s="1"/>
  <c r="AT47" i="1" s="1"/>
  <c r="AZ47" i="1" s="1"/>
  <c r="J46" i="1"/>
  <c r="L46" i="1" s="1"/>
  <c r="N46" i="1" s="1"/>
  <c r="P46" i="1" s="1"/>
  <c r="R46" i="1" s="1"/>
  <c r="T46" i="1" s="1"/>
  <c r="V46" i="1" s="1"/>
  <c r="X46" i="1" s="1"/>
  <c r="Z46" i="1" s="1"/>
  <c r="AB46" i="1" s="1"/>
  <c r="AD46" i="1" s="1"/>
  <c r="AF46" i="1" s="1"/>
  <c r="AH46" i="1" s="1"/>
  <c r="AJ46" i="1" s="1"/>
  <c r="AL46" i="1" s="1"/>
  <c r="AN46" i="1" s="1"/>
  <c r="AP46" i="1" s="1"/>
  <c r="AR46" i="1" s="1"/>
  <c r="AT46" i="1" s="1"/>
  <c r="AV46" i="1" s="1"/>
  <c r="AX46" i="1" s="1"/>
  <c r="J57" i="1"/>
  <c r="L57" i="1" s="1"/>
  <c r="N57" i="1" s="1"/>
  <c r="P57" i="1" s="1"/>
  <c r="R57" i="1" s="1"/>
  <c r="T57" i="1" s="1"/>
  <c r="V57" i="1" s="1"/>
  <c r="X57" i="1" s="1"/>
  <c r="Z57" i="1" s="1"/>
  <c r="AB57" i="1" s="1"/>
  <c r="AD57" i="1" s="1"/>
  <c r="AF57" i="1" s="1"/>
  <c r="AH57" i="1" s="1"/>
  <c r="AJ57" i="1" s="1"/>
  <c r="AL57" i="1" s="1"/>
  <c r="AN57" i="1" s="1"/>
  <c r="AP57" i="1" s="1"/>
  <c r="AR57" i="1" s="1"/>
  <c r="AT57" i="1" s="1"/>
  <c r="AV57" i="1" s="1"/>
  <c r="AX57" i="1" s="1"/>
  <c r="AZ57" i="1" s="1"/>
  <c r="J61" i="1"/>
  <c r="L61" i="1" s="1"/>
  <c r="N61" i="1" s="1"/>
  <c r="P61" i="1" s="1"/>
  <c r="R61" i="1" s="1"/>
  <c r="T61" i="1" s="1"/>
  <c r="V61" i="1" s="1"/>
  <c r="X61" i="1" s="1"/>
  <c r="Z61" i="1" s="1"/>
  <c r="AB61" i="1" s="1"/>
  <c r="AD61" i="1" s="1"/>
  <c r="AF61" i="1" s="1"/>
  <c r="AH61" i="1" s="1"/>
  <c r="AJ61" i="1" s="1"/>
  <c r="AL61" i="1" s="1"/>
  <c r="AN61" i="1" s="1"/>
  <c r="AP61" i="1" s="1"/>
  <c r="AR61" i="1" s="1"/>
  <c r="AT61" i="1" s="1"/>
  <c r="AV61" i="1" s="1"/>
  <c r="AX61" i="1" s="1"/>
  <c r="AZ61" i="1" s="1"/>
  <c r="J65" i="1"/>
  <c r="L65" i="1" s="1"/>
  <c r="N65" i="1" s="1"/>
  <c r="P65" i="1" s="1"/>
  <c r="R65" i="1" s="1"/>
  <c r="T65" i="1" s="1"/>
  <c r="V65" i="1" s="1"/>
  <c r="X65" i="1" s="1"/>
  <c r="Z65" i="1" s="1"/>
  <c r="AB65" i="1" s="1"/>
  <c r="AD65" i="1" s="1"/>
  <c r="AF65" i="1" s="1"/>
  <c r="AH65" i="1" s="1"/>
  <c r="AJ65" i="1" s="1"/>
  <c r="AL65" i="1" s="1"/>
  <c r="AN65" i="1" s="1"/>
  <c r="AP65" i="1" s="1"/>
  <c r="AR65" i="1" s="1"/>
  <c r="AT65" i="1" s="1"/>
  <c r="AV65" i="1" s="1"/>
  <c r="AX65" i="1" s="1"/>
  <c r="AZ65" i="1" s="1"/>
  <c r="J63" i="1"/>
  <c r="L63" i="1" s="1"/>
  <c r="N63" i="1" s="1"/>
  <c r="P63" i="1" s="1"/>
  <c r="R63" i="1" s="1"/>
  <c r="T63" i="1" s="1"/>
  <c r="V63" i="1" s="1"/>
  <c r="X63" i="1" s="1"/>
  <c r="Z63" i="1" s="1"/>
  <c r="AB63" i="1" s="1"/>
  <c r="AD63" i="1" s="1"/>
  <c r="AF63" i="1" s="1"/>
  <c r="AH63" i="1" s="1"/>
  <c r="AJ63" i="1" s="1"/>
  <c r="AL63" i="1" s="1"/>
  <c r="AN63" i="1" s="1"/>
  <c r="AP63" i="1" s="1"/>
  <c r="AR63" i="1" s="1"/>
  <c r="AT63" i="1" s="1"/>
  <c r="AV63" i="1" s="1"/>
  <c r="AX63" i="1" s="1"/>
  <c r="AZ63" i="1" s="1"/>
  <c r="J64" i="1"/>
  <c r="L64" i="1" s="1"/>
  <c r="N64" i="1" s="1"/>
  <c r="P64" i="1" s="1"/>
  <c r="R64" i="1" s="1"/>
  <c r="T64" i="1" s="1"/>
  <c r="V64" i="1" s="1"/>
  <c r="X64" i="1" s="1"/>
  <c r="Z64" i="1" s="1"/>
  <c r="AB64" i="1" s="1"/>
  <c r="AD64" i="1" s="1"/>
  <c r="AF64" i="1" s="1"/>
  <c r="AH64" i="1" s="1"/>
  <c r="AJ64" i="1" s="1"/>
  <c r="AL64" i="1" s="1"/>
  <c r="AN64" i="1" s="1"/>
  <c r="AP64" i="1" s="1"/>
  <c r="AR64" i="1" s="1"/>
  <c r="AT64" i="1" s="1"/>
  <c r="AV64" i="1" s="1"/>
  <c r="AX64" i="1" s="1"/>
  <c r="AZ64" i="1" s="1"/>
  <c r="J59" i="1"/>
  <c r="L59" i="1" s="1"/>
  <c r="N59" i="1" s="1"/>
  <c r="P59" i="1" s="1"/>
  <c r="R59" i="1" s="1"/>
  <c r="T59" i="1" s="1"/>
  <c r="V59" i="1" s="1"/>
  <c r="X59" i="1" s="1"/>
  <c r="Z59" i="1" s="1"/>
  <c r="AB59" i="1" s="1"/>
  <c r="AD59" i="1" s="1"/>
  <c r="AF59" i="1" s="1"/>
  <c r="AH59" i="1" s="1"/>
  <c r="AJ59" i="1" s="1"/>
  <c r="AL59" i="1" s="1"/>
  <c r="AN59" i="1" s="1"/>
  <c r="AP59" i="1" s="1"/>
  <c r="AR59" i="1" s="1"/>
  <c r="AT59" i="1" s="1"/>
  <c r="AV59" i="1" s="1"/>
  <c r="AX59" i="1" s="1"/>
  <c r="AZ59" i="1" s="1"/>
  <c r="J60" i="1"/>
  <c r="L60" i="1" s="1"/>
  <c r="N60" i="1" s="1"/>
  <c r="P60" i="1" s="1"/>
  <c r="R60" i="1" s="1"/>
  <c r="T60" i="1" s="1"/>
  <c r="V60" i="1" s="1"/>
  <c r="X60" i="1" s="1"/>
  <c r="Z60" i="1" s="1"/>
  <c r="AB60" i="1" s="1"/>
  <c r="AD60" i="1" s="1"/>
  <c r="AF60" i="1" s="1"/>
  <c r="AH60" i="1" s="1"/>
  <c r="AJ60" i="1" s="1"/>
  <c r="AL60" i="1" s="1"/>
  <c r="AN60" i="1" s="1"/>
  <c r="AP60" i="1" s="1"/>
  <c r="AR60" i="1" s="1"/>
  <c r="AT60" i="1" s="1"/>
  <c r="AV60" i="1" s="1"/>
  <c r="AX60" i="1" s="1"/>
  <c r="AZ60" i="1" s="1"/>
  <c r="J31" i="1"/>
  <c r="L31" i="1" s="1"/>
  <c r="N31" i="1" s="1"/>
  <c r="P31" i="1" s="1"/>
  <c r="R31" i="1" s="1"/>
  <c r="T31" i="1" s="1"/>
  <c r="V31" i="1" s="1"/>
  <c r="X31" i="1" s="1"/>
  <c r="Z31" i="1" s="1"/>
  <c r="AB31" i="1" s="1"/>
  <c r="AD31" i="1" s="1"/>
  <c r="AF31" i="1" s="1"/>
  <c r="AH31" i="1" s="1"/>
  <c r="AJ31" i="1" s="1"/>
  <c r="AL31" i="1" s="1"/>
  <c r="AN31" i="1" s="1"/>
  <c r="AP31" i="1" s="1"/>
  <c r="AR31" i="1" s="1"/>
  <c r="AT31" i="1" s="1"/>
  <c r="AX31" i="1" s="1"/>
  <c r="AZ31" i="1" s="1"/>
  <c r="J35" i="1"/>
  <c r="L35" i="1" s="1"/>
  <c r="N35" i="1" s="1"/>
  <c r="P35" i="1" s="1"/>
  <c r="R35" i="1" s="1"/>
  <c r="T35" i="1" s="1"/>
  <c r="V35" i="1" s="1"/>
  <c r="Z35" i="1" s="1"/>
  <c r="J38" i="1"/>
  <c r="J39" i="1"/>
  <c r="L39" i="1" s="1"/>
  <c r="N39" i="1" s="1"/>
  <c r="P39" i="1" s="1"/>
  <c r="R39" i="1" s="1"/>
  <c r="T39" i="1" s="1"/>
  <c r="V39" i="1" s="1"/>
  <c r="X39" i="1" s="1"/>
  <c r="Z39" i="1" s="1"/>
  <c r="AB39" i="1" s="1"/>
  <c r="AD39" i="1" s="1"/>
  <c r="AF39" i="1" s="1"/>
  <c r="AH39" i="1" s="1"/>
  <c r="AJ39" i="1" s="1"/>
  <c r="AL39" i="1" s="1"/>
  <c r="AN39" i="1" s="1"/>
  <c r="AP39" i="1" s="1"/>
  <c r="AR39" i="1" s="1"/>
  <c r="AV39" i="1" s="1"/>
  <c r="AX39" i="1" s="1"/>
  <c r="AZ39" i="1" s="1"/>
  <c r="J41" i="1"/>
  <c r="L41" i="1" s="1"/>
  <c r="N41" i="1" s="1"/>
  <c r="P41" i="1" s="1"/>
  <c r="T41" i="1" s="1"/>
  <c r="V41" i="1" s="1"/>
  <c r="X41" i="1" s="1"/>
  <c r="Z41" i="1" s="1"/>
  <c r="AB41" i="1" s="1"/>
  <c r="AD41" i="1" s="1"/>
  <c r="AH41" i="1" s="1"/>
  <c r="AJ41" i="1" s="1"/>
  <c r="AL41" i="1" s="1"/>
  <c r="AN41" i="1" s="1"/>
  <c r="AP41" i="1" s="1"/>
  <c r="AR41" i="1" s="1"/>
  <c r="J43" i="1"/>
  <c r="L43" i="1" s="1"/>
  <c r="N43" i="1" s="1"/>
  <c r="P43" i="1" s="1"/>
  <c r="J48" i="1"/>
  <c r="L48" i="1" s="1"/>
  <c r="N48" i="1" s="1"/>
  <c r="P48" i="1" s="1"/>
  <c r="R48" i="1" s="1"/>
  <c r="T48" i="1" s="1"/>
  <c r="V48" i="1" s="1"/>
  <c r="X48" i="1" s="1"/>
  <c r="Z48" i="1" s="1"/>
  <c r="AB48" i="1" s="1"/>
  <c r="AD48" i="1" s="1"/>
  <c r="AF48" i="1" s="1"/>
  <c r="AH48" i="1" s="1"/>
  <c r="AJ48" i="1" s="1"/>
  <c r="AL48" i="1" s="1"/>
  <c r="AN48" i="1" s="1"/>
  <c r="AP48" i="1" s="1"/>
  <c r="AR48" i="1" s="1"/>
  <c r="AT48" i="1" s="1"/>
  <c r="AV48" i="1" s="1"/>
  <c r="AX48" i="1" s="1"/>
  <c r="AZ51" i="1"/>
  <c r="AZ53" i="1"/>
  <c r="J55" i="1"/>
  <c r="L55" i="1" s="1"/>
  <c r="N55" i="1" s="1"/>
  <c r="P55" i="1" s="1"/>
  <c r="R55" i="1" s="1"/>
  <c r="T55" i="1" s="1"/>
  <c r="V55" i="1" s="1"/>
  <c r="X55" i="1" s="1"/>
  <c r="Z55" i="1" s="1"/>
  <c r="AB55" i="1" s="1"/>
  <c r="AD55" i="1" s="1"/>
  <c r="AF55" i="1" s="1"/>
  <c r="AH55" i="1" s="1"/>
  <c r="AJ55" i="1" s="1"/>
  <c r="AL55" i="1" s="1"/>
  <c r="AN55" i="1" s="1"/>
  <c r="L56" i="1"/>
  <c r="N56" i="1" s="1"/>
  <c r="P56" i="1" s="1"/>
  <c r="R56" i="1" s="1"/>
  <c r="T56" i="1" s="1"/>
  <c r="V56" i="1" s="1"/>
  <c r="X56" i="1" s="1"/>
  <c r="Z56" i="1" s="1"/>
  <c r="AB56" i="1" s="1"/>
  <c r="AD56" i="1" s="1"/>
  <c r="AF56" i="1" s="1"/>
  <c r="AH56" i="1" s="1"/>
  <c r="AJ56" i="1" s="1"/>
  <c r="AL56" i="1" s="1"/>
  <c r="AN56" i="1" s="1"/>
  <c r="AP56" i="1" s="1"/>
  <c r="AR56" i="1" s="1"/>
  <c r="AT56" i="1" s="1"/>
  <c r="AV56" i="1" s="1"/>
  <c r="AX56" i="1" s="1"/>
  <c r="AZ56" i="1" s="1"/>
  <c r="J30" i="1"/>
  <c r="L30" i="1" s="1"/>
  <c r="N30" i="1" s="1"/>
  <c r="P30" i="1" s="1"/>
  <c r="R30" i="1" s="1"/>
  <c r="T30" i="1" s="1"/>
  <c r="V30" i="1" s="1"/>
  <c r="X30" i="1" s="1"/>
  <c r="Z30" i="1" s="1"/>
  <c r="AB30" i="1" s="1"/>
  <c r="AD30" i="1" s="1"/>
  <c r="AF30" i="1" s="1"/>
  <c r="AH30" i="1" s="1"/>
  <c r="AJ30" i="1" s="1"/>
  <c r="AL30" i="1" s="1"/>
  <c r="AN30" i="1" s="1"/>
  <c r="AP30" i="1" s="1"/>
  <c r="AR30" i="1" s="1"/>
  <c r="AV30" i="1" s="1"/>
  <c r="AX30" i="1" s="1"/>
  <c r="AZ30" i="1" s="1"/>
  <c r="J28" i="1"/>
  <c r="L28" i="1" s="1"/>
  <c r="N28" i="1" s="1"/>
  <c r="P28" i="1" s="1"/>
  <c r="R28" i="1" s="1"/>
  <c r="T28" i="1" s="1"/>
  <c r="V28" i="1" s="1"/>
  <c r="X28" i="1" s="1"/>
  <c r="Z28" i="1" s="1"/>
  <c r="AB28" i="1" s="1"/>
  <c r="AD28" i="1" s="1"/>
  <c r="AF28" i="1" s="1"/>
  <c r="AH28" i="1" s="1"/>
  <c r="AJ28" i="1" s="1"/>
  <c r="AL28" i="1" s="1"/>
  <c r="AN28" i="1" s="1"/>
  <c r="AP28" i="1" s="1"/>
  <c r="AR28" i="1" s="1"/>
  <c r="AT28" i="1" s="1"/>
  <c r="AV28" i="1" s="1"/>
  <c r="AX28" i="1" s="1"/>
  <c r="AZ28" i="1" s="1"/>
  <c r="J27" i="1"/>
  <c r="L27" i="1" s="1"/>
  <c r="N27" i="1" s="1"/>
  <c r="P27" i="1" s="1"/>
  <c r="R27" i="1" s="1"/>
  <c r="T27" i="1" s="1"/>
  <c r="V27" i="1" s="1"/>
  <c r="X27" i="1" s="1"/>
  <c r="Z27" i="1" s="1"/>
  <c r="AB27" i="1" s="1"/>
  <c r="AD27" i="1" s="1"/>
  <c r="AF27" i="1" s="1"/>
  <c r="AH27" i="1" s="1"/>
  <c r="AJ27" i="1" s="1"/>
  <c r="AL27" i="1" s="1"/>
  <c r="AN27" i="1" s="1"/>
  <c r="AP27" i="1" s="1"/>
  <c r="AR27" i="1" s="1"/>
  <c r="AT27" i="1" s="1"/>
  <c r="AX27" i="1" s="1"/>
  <c r="AZ27" i="1" s="1"/>
  <c r="J25" i="1"/>
  <c r="L25" i="1" s="1"/>
  <c r="N25" i="1" s="1"/>
  <c r="P25" i="1" s="1"/>
  <c r="R25" i="1" s="1"/>
  <c r="T25" i="1" s="1"/>
  <c r="V25" i="1" s="1"/>
  <c r="X25" i="1" s="1"/>
  <c r="Z25" i="1" s="1"/>
  <c r="AB25" i="1" s="1"/>
  <c r="AD25" i="1" s="1"/>
  <c r="AF25" i="1" s="1"/>
  <c r="AH25" i="1" s="1"/>
  <c r="AJ25" i="1" s="1"/>
  <c r="AL25" i="1" s="1"/>
  <c r="AN25" i="1" s="1"/>
  <c r="AP25" i="1" s="1"/>
  <c r="AR25" i="1" s="1"/>
  <c r="AT25" i="1" s="1"/>
  <c r="AV25" i="1" s="1"/>
  <c r="AX25" i="1" s="1"/>
  <c r="AZ25" i="1" s="1"/>
  <c r="J19" i="1"/>
  <c r="L19" i="1" s="1"/>
  <c r="N19" i="1" s="1"/>
  <c r="P19" i="1" s="1"/>
  <c r="R19" i="1" s="1"/>
  <c r="T19" i="1" s="1"/>
  <c r="V19" i="1" s="1"/>
  <c r="X19" i="1" s="1"/>
  <c r="Z19" i="1" s="1"/>
  <c r="AB19" i="1" s="1"/>
  <c r="AD19" i="1" s="1"/>
  <c r="AF19" i="1" s="1"/>
  <c r="AH19" i="1" s="1"/>
  <c r="AJ19" i="1" s="1"/>
  <c r="AL19" i="1" s="1"/>
  <c r="AN19" i="1" s="1"/>
  <c r="AP19" i="1" s="1"/>
  <c r="AR19" i="1" s="1"/>
  <c r="AT19" i="1" s="1"/>
  <c r="AV19" i="1" s="1"/>
  <c r="AX19" i="1" s="1"/>
  <c r="AZ19" i="1" s="1"/>
  <c r="H19" i="1"/>
  <c r="I10" i="1"/>
  <c r="AZ48" i="1" l="1"/>
  <c r="AZ46" i="1"/>
  <c r="AP55" i="1"/>
  <c r="AR55" i="1" s="1"/>
  <c r="AT55" i="1" s="1"/>
  <c r="AV55" i="1" s="1"/>
  <c r="AX55" i="1" s="1"/>
  <c r="AZ55" i="1" s="1"/>
  <c r="AF35" i="1"/>
  <c r="AJ35" i="1" s="1"/>
  <c r="AL35" i="1" s="1"/>
  <c r="AP35" i="1" s="1"/>
  <c r="BG52" i="1"/>
  <c r="BC53" i="1"/>
  <c r="BG53" i="1"/>
  <c r="BC52" i="1"/>
  <c r="BF52" i="1"/>
  <c r="T52" i="1"/>
  <c r="AF50" i="1"/>
  <c r="AJ50" i="1" s="1"/>
  <c r="AN50" i="1" s="1"/>
  <c r="AR50" i="1" s="1"/>
  <c r="BD53" i="1"/>
  <c r="BE53" i="1" s="1"/>
  <c r="AX41" i="1"/>
  <c r="AZ41" i="1" s="1"/>
  <c r="BF43" i="1"/>
  <c r="AT35" i="1"/>
  <c r="AV35" i="1" s="1"/>
  <c r="AX35" i="1" s="1"/>
  <c r="AZ35" i="1" s="1"/>
  <c r="AL36" i="1"/>
  <c r="AN36" i="1" s="1"/>
  <c r="AP36" i="1" s="1"/>
  <c r="AR36" i="1" s="1"/>
  <c r="AT36" i="1" s="1"/>
  <c r="AV36" i="1" s="1"/>
  <c r="L38" i="1"/>
  <c r="N38" i="1" s="1"/>
  <c r="P38" i="1" s="1"/>
  <c r="R38" i="1" s="1"/>
  <c r="T38" i="1" s="1"/>
  <c r="V38" i="1" s="1"/>
  <c r="X38" i="1" s="1"/>
  <c r="Z38" i="1" s="1"/>
  <c r="AB38" i="1" s="1"/>
  <c r="AD38" i="1" s="1"/>
  <c r="AF38" i="1" s="1"/>
  <c r="AH38" i="1" s="1"/>
  <c r="AJ38" i="1" s="1"/>
  <c r="AL38" i="1" s="1"/>
  <c r="AT38" i="1" s="1"/>
  <c r="AV38" i="1" s="1"/>
  <c r="AX38" i="1" s="1"/>
  <c r="AZ38" i="1" s="1"/>
  <c r="BG15" i="1"/>
  <c r="BF15" i="1"/>
  <c r="BE44" i="1"/>
  <c r="BE43" i="1"/>
  <c r="AH34" i="1"/>
  <c r="AJ34" i="1" s="1"/>
  <c r="AL34" i="1" s="1"/>
  <c r="AN34" i="1" s="1"/>
  <c r="AP34" i="1" s="1"/>
  <c r="AR34" i="1" s="1"/>
  <c r="AT34" i="1" s="1"/>
  <c r="BF41" i="1"/>
  <c r="BC13" i="1"/>
  <c r="BD13" i="1" s="1"/>
  <c r="BE13" i="1" s="1"/>
  <c r="AH44" i="1"/>
  <c r="AJ44" i="1" s="1"/>
  <c r="AL44" i="1" s="1"/>
  <c r="AN44" i="1" s="1"/>
  <c r="AP44" i="1" s="1"/>
  <c r="AR44" i="1" s="1"/>
  <c r="AT44" i="1" s="1"/>
  <c r="AX44" i="1" s="1"/>
  <c r="BG19" i="1"/>
  <c r="BF19" i="1"/>
  <c r="BC19" i="1"/>
  <c r="BD19" i="1" s="1"/>
  <c r="BE19" i="1" s="1"/>
  <c r="BF25" i="1"/>
  <c r="BC25" i="1"/>
  <c r="BD25" i="1" s="1"/>
  <c r="BE25" i="1" s="1"/>
  <c r="BF28" i="1"/>
  <c r="BC28" i="1"/>
  <c r="BD28" i="1" s="1"/>
  <c r="BE28" i="1" s="1"/>
  <c r="BF27" i="1"/>
  <c r="BC27" i="1"/>
  <c r="BD27" i="1" s="1"/>
  <c r="BE27" i="1" s="1"/>
  <c r="BF65" i="1"/>
  <c r="BG65" i="1"/>
  <c r="BC65" i="1"/>
  <c r="BD65" i="1" s="1"/>
  <c r="BE65" i="1" s="1"/>
  <c r="BF64" i="1"/>
  <c r="BG64" i="1"/>
  <c r="BC64" i="1"/>
  <c r="BD64" i="1" s="1"/>
  <c r="BE64" i="1" s="1"/>
  <c r="BF63" i="1"/>
  <c r="BG63" i="1"/>
  <c r="BC63" i="1"/>
  <c r="BD63" i="1" s="1"/>
  <c r="BE63" i="1" s="1"/>
  <c r="BF61" i="1"/>
  <c r="BG61" i="1"/>
  <c r="BC61" i="1"/>
  <c r="BD61" i="1" s="1"/>
  <c r="BE61" i="1" s="1"/>
  <c r="BF60" i="1"/>
  <c r="BG60" i="1"/>
  <c r="BC60" i="1"/>
  <c r="BD60" i="1" s="1"/>
  <c r="BE60" i="1" s="1"/>
  <c r="BF59" i="1"/>
  <c r="BG59" i="1"/>
  <c r="BC59" i="1"/>
  <c r="BD59" i="1" s="1"/>
  <c r="BE59" i="1" s="1"/>
  <c r="BF57" i="1"/>
  <c r="BG57" i="1"/>
  <c r="BC57" i="1"/>
  <c r="BE57" i="1" s="1"/>
  <c r="BF56" i="1"/>
  <c r="BG56" i="1"/>
  <c r="BC56" i="1"/>
  <c r="BE56" i="1" s="1"/>
  <c r="BF55" i="1"/>
  <c r="BG55" i="1"/>
  <c r="BC55" i="1"/>
  <c r="BE55" i="1" s="1"/>
  <c r="BF51" i="1"/>
  <c r="BG51" i="1"/>
  <c r="BF50" i="1"/>
  <c r="BG50" i="1"/>
  <c r="BC50" i="1"/>
  <c r="BE50" i="1" s="1"/>
  <c r="BF48" i="1"/>
  <c r="BG48" i="1"/>
  <c r="BC48" i="1"/>
  <c r="BF47" i="1"/>
  <c r="BG47" i="1"/>
  <c r="BE47" i="1"/>
  <c r="BF46" i="1"/>
  <c r="BG46" i="1"/>
  <c r="BC46" i="1"/>
  <c r="BD46" i="1" s="1"/>
  <c r="BE46" i="1" s="1"/>
  <c r="BF39" i="1"/>
  <c r="BG39" i="1"/>
  <c r="BC39" i="1"/>
  <c r="BD39" i="1" s="1"/>
  <c r="BF38" i="1"/>
  <c r="BG38" i="1"/>
  <c r="BC38" i="1"/>
  <c r="BD38" i="1" s="1"/>
  <c r="BF35" i="1"/>
  <c r="BG35" i="1"/>
  <c r="BC35" i="1"/>
  <c r="BD35" i="1" s="1"/>
  <c r="BF33" i="1"/>
  <c r="BG33" i="1"/>
  <c r="BC33" i="1"/>
  <c r="BD33" i="1" s="1"/>
  <c r="BF31" i="1"/>
  <c r="BG31" i="1"/>
  <c r="BC31" i="1"/>
  <c r="BD31" i="1" s="1"/>
  <c r="BE31" i="1" s="1"/>
  <c r="BF30" i="1"/>
  <c r="BC30" i="1"/>
  <c r="BD30" i="1" s="1"/>
  <c r="BE30" i="1" s="1"/>
  <c r="BG42" i="1"/>
  <c r="BF42" i="1"/>
  <c r="BC44" i="1"/>
  <c r="BD44" i="1" s="1"/>
  <c r="BG44" i="1"/>
  <c r="R43" i="1"/>
  <c r="T43" i="1" s="1"/>
  <c r="V43" i="1" s="1"/>
  <c r="X43" i="1" s="1"/>
  <c r="Z43" i="1" s="1"/>
  <c r="AB43" i="1" s="1"/>
  <c r="AD43" i="1" s="1"/>
  <c r="AH43" i="1" s="1"/>
  <c r="AJ43" i="1" s="1"/>
  <c r="AL43" i="1" s="1"/>
  <c r="AN43" i="1" s="1"/>
  <c r="AP43" i="1" s="1"/>
  <c r="AR43" i="1" s="1"/>
  <c r="AT43" i="1" s="1"/>
  <c r="AX43" i="1" s="1"/>
  <c r="AZ43" i="1" s="1"/>
  <c r="BC43" i="1"/>
  <c r="BD43" i="1" s="1"/>
  <c r="BG43" i="1"/>
  <c r="BC42" i="1"/>
  <c r="BD42" i="1" s="1"/>
  <c r="BG41" i="1"/>
  <c r="BC41" i="1"/>
  <c r="BD41" i="1" s="1"/>
  <c r="H14" i="1"/>
  <c r="G10" i="1"/>
  <c r="BE9" i="1" s="1"/>
  <c r="D6" i="2"/>
  <c r="F10" i="1" s="1"/>
  <c r="BD9" i="1" s="1"/>
  <c r="D5" i="2"/>
  <c r="D4" i="2"/>
  <c r="H10" i="1" s="1"/>
  <c r="BE48" i="1" l="1"/>
  <c r="BD48" i="1"/>
  <c r="V52" i="1"/>
  <c r="AV34" i="1"/>
  <c r="AX34" i="1" s="1"/>
  <c r="AZ34" i="1" s="1"/>
  <c r="AX36" i="1"/>
  <c r="AZ36" i="1" s="1"/>
  <c r="BE51" i="1"/>
  <c r="H20" i="1"/>
  <c r="H18" i="1"/>
  <c r="H17" i="1"/>
  <c r="H13" i="1"/>
  <c r="BB20" i="1"/>
  <c r="BB14" i="1"/>
  <c r="D3" i="2"/>
  <c r="BF9" i="1" s="1"/>
  <c r="BG9" i="1"/>
  <c r="D2" i="2"/>
  <c r="D10" i="1" s="1"/>
  <c r="BC9" i="1" s="1"/>
  <c r="BF12" i="1" l="1"/>
  <c r="BF17" i="1"/>
  <c r="BF18" i="1"/>
  <c r="BC20" i="1"/>
  <c r="BD20" i="1" s="1"/>
  <c r="BE20" i="1" s="1"/>
  <c r="BF22" i="1"/>
  <c r="BC22" i="1"/>
  <c r="BD22" i="1" s="1"/>
  <c r="BE22" i="1" s="1"/>
  <c r="BG18" i="1"/>
  <c r="BG20" i="1"/>
  <c r="BF20" i="1"/>
  <c r="BG17" i="1"/>
  <c r="BC17" i="1"/>
  <c r="BD17" i="1" s="1"/>
  <c r="BE17" i="1" s="1"/>
  <c r="BC18" i="1"/>
  <c r="BD18" i="1" s="1"/>
  <c r="BE18" i="1" s="1"/>
  <c r="BF13" i="1"/>
  <c r="BG13" i="1"/>
  <c r="BB10" i="1"/>
  <c r="BC14" i="1"/>
  <c r="BD14" i="1" s="1"/>
  <c r="BE14" i="1" s="1"/>
  <c r="BG14" i="1"/>
  <c r="BF14" i="1"/>
  <c r="BG12" i="1"/>
  <c r="J22" i="1"/>
  <c r="J20" i="1"/>
  <c r="J18" i="1"/>
  <c r="J17" i="1"/>
  <c r="J14" i="1"/>
  <c r="L14" i="1" s="1"/>
  <c r="N14" i="1" s="1"/>
  <c r="P14" i="1" s="1"/>
  <c r="R14" i="1" s="1"/>
  <c r="T14" i="1" s="1"/>
  <c r="V14" i="1" s="1"/>
  <c r="X14" i="1" s="1"/>
  <c r="Z14" i="1" s="1"/>
  <c r="AB14" i="1" s="1"/>
  <c r="AD14" i="1" s="1"/>
  <c r="AF14" i="1" s="1"/>
  <c r="AH14" i="1" s="1"/>
  <c r="AJ14" i="1" s="1"/>
  <c r="AN14" i="1" s="1"/>
  <c r="AP14" i="1" s="1"/>
  <c r="AT14" i="1" s="1"/>
  <c r="AV14" i="1" s="1"/>
  <c r="AX14" i="1" s="1"/>
  <c r="AZ14" i="1" s="1"/>
  <c r="J13" i="1"/>
  <c r="L13" i="1" s="1"/>
  <c r="J12" i="1"/>
  <c r="W10" i="1"/>
  <c r="O3" i="1" s="1"/>
  <c r="U10" i="1"/>
  <c r="N3" i="1" s="1"/>
  <c r="S10" i="1"/>
  <c r="M3" i="1" s="1"/>
  <c r="Q10" i="1"/>
  <c r="L3" i="1" s="1"/>
  <c r="O10" i="1"/>
  <c r="K3" i="1" s="1"/>
  <c r="M10" i="1"/>
  <c r="J3" i="1" s="1"/>
  <c r="K10" i="1"/>
  <c r="I3" i="1" s="1"/>
  <c r="AZ9" i="1"/>
  <c r="J9" i="1"/>
  <c r="L9" i="1" s="1"/>
  <c r="N9" i="1" s="1"/>
  <c r="P9" i="1" s="1"/>
  <c r="R9" i="1" s="1"/>
  <c r="T9" i="1" s="1"/>
  <c r="V9" i="1" s="1"/>
  <c r="X9" i="1" s="1"/>
  <c r="Z9" i="1" s="1"/>
  <c r="AB9" i="1" s="1"/>
  <c r="AD9" i="1" s="1"/>
  <c r="AF9" i="1" s="1"/>
  <c r="AH9" i="1" s="1"/>
  <c r="AJ9" i="1" s="1"/>
  <c r="AL9" i="1" s="1"/>
  <c r="AN9" i="1" s="1"/>
  <c r="AP9" i="1" s="1"/>
  <c r="AD3" i="1"/>
  <c r="AC3" i="1"/>
  <c r="X52" i="1" l="1"/>
  <c r="BC10" i="1"/>
  <c r="AR9" i="1"/>
  <c r="AT9" i="1" s="1"/>
  <c r="AV9" i="1" s="1"/>
  <c r="N13" i="1"/>
  <c r="P13" i="1" s="1"/>
  <c r="R13" i="1" s="1"/>
  <c r="T13" i="1" s="1"/>
  <c r="V13" i="1" s="1"/>
  <c r="X13" i="1" s="1"/>
  <c r="Z13" i="1" s="1"/>
  <c r="AB13" i="1" s="1"/>
  <c r="AD13" i="1" s="1"/>
  <c r="AF13" i="1" s="1"/>
  <c r="AH13" i="1" s="1"/>
  <c r="AJ13" i="1" s="1"/>
  <c r="BE10" i="1"/>
  <c r="BD10" i="1"/>
  <c r="BF10" i="1"/>
  <c r="BG10" i="1"/>
  <c r="L17" i="1"/>
  <c r="L18" i="1"/>
  <c r="N18" i="1" s="1"/>
  <c r="P18" i="1" s="1"/>
  <c r="R18" i="1" s="1"/>
  <c r="T18" i="1" s="1"/>
  <c r="V18" i="1" s="1"/>
  <c r="X18" i="1" s="1"/>
  <c r="Z18" i="1" s="1"/>
  <c r="AB18" i="1" s="1"/>
  <c r="AD18" i="1" s="1"/>
  <c r="AF18" i="1" s="1"/>
  <c r="AH18" i="1" s="1"/>
  <c r="AJ18" i="1" s="1"/>
  <c r="AL18" i="1" s="1"/>
  <c r="AN18" i="1" s="1"/>
  <c r="AP18" i="1" s="1"/>
  <c r="AR18" i="1" s="1"/>
  <c r="AT18" i="1" s="1"/>
  <c r="AV18" i="1" s="1"/>
  <c r="AX18" i="1" s="1"/>
  <c r="AZ18" i="1" s="1"/>
  <c r="L20" i="1"/>
  <c r="N20" i="1" s="1"/>
  <c r="L22" i="1"/>
  <c r="N22" i="1" s="1"/>
  <c r="P22" i="1" s="1"/>
  <c r="R22" i="1" s="1"/>
  <c r="T22" i="1" s="1"/>
  <c r="V22" i="1" s="1"/>
  <c r="X22" i="1" s="1"/>
  <c r="Z22" i="1" s="1"/>
  <c r="AB22" i="1" s="1"/>
  <c r="AD22" i="1" s="1"/>
  <c r="AF22" i="1" s="1"/>
  <c r="AH22" i="1" s="1"/>
  <c r="AJ22" i="1" s="1"/>
  <c r="AL22" i="1" s="1"/>
  <c r="AN22" i="1" s="1"/>
  <c r="AR22" i="1" s="1"/>
  <c r="AT22" i="1" s="1"/>
  <c r="AV22" i="1" s="1"/>
  <c r="AX22" i="1" s="1"/>
  <c r="AZ22" i="1" s="1"/>
  <c r="J10" i="1"/>
  <c r="I2" i="1" s="1"/>
  <c r="L12" i="1"/>
  <c r="N12" i="1" s="1"/>
  <c r="P12" i="1" s="1"/>
  <c r="R12" i="1" s="1"/>
  <c r="T12" i="1" s="1"/>
  <c r="V12" i="1" s="1"/>
  <c r="X12" i="1" s="1"/>
  <c r="Z12" i="1" s="1"/>
  <c r="AB12" i="1" s="1"/>
  <c r="AD12" i="1" s="1"/>
  <c r="AL13" i="1" l="1"/>
  <c r="AN13" i="1" s="1"/>
  <c r="AP13" i="1" s="1"/>
  <c r="AR13" i="1" s="1"/>
  <c r="AT13" i="1" s="1"/>
  <c r="AV13" i="1" s="1"/>
  <c r="AX13" i="1" s="1"/>
  <c r="AZ13" i="1" s="1"/>
  <c r="P20" i="1"/>
  <c r="R20" i="1" s="1"/>
  <c r="N17" i="1"/>
  <c r="P17" i="1" s="1"/>
  <c r="R17" i="1" s="1"/>
  <c r="T17" i="1" s="1"/>
  <c r="V17" i="1" s="1"/>
  <c r="X17" i="1" s="1"/>
  <c r="Z17" i="1" s="1"/>
  <c r="AB17" i="1" s="1"/>
  <c r="AD17" i="1" s="1"/>
  <c r="AF17" i="1" s="1"/>
  <c r="AH17" i="1" s="1"/>
  <c r="AJ17" i="1" s="1"/>
  <c r="AL17" i="1" s="1"/>
  <c r="AN17" i="1" s="1"/>
  <c r="AP17" i="1" s="1"/>
  <c r="AR17" i="1" s="1"/>
  <c r="AT17" i="1" s="1"/>
  <c r="AV17" i="1" s="1"/>
  <c r="AX17" i="1" s="1"/>
  <c r="AZ17" i="1" s="1"/>
  <c r="L10" i="1"/>
  <c r="J2" i="1" s="1"/>
  <c r="Y10" i="1" l="1"/>
  <c r="P3" i="1" s="1"/>
  <c r="Z52" i="1"/>
  <c r="T20" i="1"/>
  <c r="V20" i="1" s="1"/>
  <c r="X20" i="1" s="1"/>
  <c r="Z20" i="1" s="1"/>
  <c r="AB20" i="1" s="1"/>
  <c r="AD20" i="1" s="1"/>
  <c r="AF20" i="1" s="1"/>
  <c r="AH20" i="1" s="1"/>
  <c r="AJ20" i="1" s="1"/>
  <c r="AL20" i="1" s="1"/>
  <c r="AN20" i="1" s="1"/>
  <c r="AP20" i="1" s="1"/>
  <c r="AR20" i="1" s="1"/>
  <c r="AT20" i="1" s="1"/>
  <c r="AV20" i="1" s="1"/>
  <c r="AX20" i="1" s="1"/>
  <c r="AZ20" i="1" s="1"/>
  <c r="N10" i="1"/>
  <c r="K2" i="1" s="1"/>
  <c r="P10" i="1" l="1"/>
  <c r="L2" i="1" s="1"/>
  <c r="AA10" i="1" l="1"/>
  <c r="Q3" i="1" s="1"/>
  <c r="AB52" i="1"/>
  <c r="R10" i="1"/>
  <c r="M2" i="1" s="1"/>
  <c r="T10" i="1" l="1"/>
  <c r="N2" i="1" s="1"/>
  <c r="AC10" i="1" l="1"/>
  <c r="R3" i="1" s="1"/>
  <c r="AD52" i="1"/>
  <c r="V10" i="1"/>
  <c r="O2" i="1" s="1"/>
  <c r="X10" i="1" l="1"/>
  <c r="P2" i="1" s="1"/>
  <c r="AE10" i="1" l="1"/>
  <c r="S3" i="1" s="1"/>
  <c r="AF52" i="1"/>
  <c r="Z10" i="1"/>
  <c r="Q2" i="1" s="1"/>
  <c r="AB10" i="1" l="1"/>
  <c r="R2" i="1" s="1"/>
  <c r="AG10" i="1" l="1"/>
  <c r="T3" i="1" s="1"/>
  <c r="AH52" i="1"/>
  <c r="AD10" i="1"/>
  <c r="S2" i="1" s="1"/>
  <c r="AF12" i="1"/>
  <c r="AH12" i="1" s="1"/>
  <c r="AJ12" i="1" s="1"/>
  <c r="AF10" i="1" l="1"/>
  <c r="T2" i="1" s="1"/>
  <c r="AI10" i="1" l="1"/>
  <c r="U3" i="1" s="1"/>
  <c r="AJ52" i="1"/>
  <c r="AH10" i="1"/>
  <c r="U2" i="1" s="1"/>
  <c r="AL52" i="1" l="1"/>
  <c r="AL12" i="1"/>
  <c r="AN12" i="1" s="1"/>
  <c r="AJ10" i="1"/>
  <c r="V2" i="1" s="1"/>
  <c r="AK10" i="1" l="1"/>
  <c r="V3" i="1" s="1"/>
  <c r="AL10" i="1"/>
  <c r="W2" i="1" s="1"/>
  <c r="AM10" i="1" l="1"/>
  <c r="W3" i="1" s="1"/>
  <c r="AN52" i="1"/>
  <c r="AN10" i="1" s="1"/>
  <c r="X2" i="1" s="1"/>
  <c r="AP12" i="1"/>
  <c r="AR12" i="1" s="1"/>
  <c r="AT12" i="1" s="1"/>
  <c r="AV12" i="1" s="1"/>
  <c r="AX12" i="1" s="1"/>
  <c r="AO10" i="1" l="1"/>
  <c r="X3" i="1" s="1"/>
  <c r="AP52" i="1"/>
  <c r="AR52" i="1" l="1"/>
  <c r="AP10" i="1"/>
  <c r="Y2" i="1" s="1"/>
  <c r="AR10" i="1" l="1"/>
  <c r="Z2" i="1" s="1"/>
  <c r="AT52" i="1"/>
  <c r="AQ10" i="1"/>
  <c r="Y3" i="1" s="1"/>
  <c r="AT10" i="1" l="1"/>
  <c r="AA2" i="1" s="1"/>
  <c r="AS10" i="1"/>
  <c r="Z3" i="1" s="1"/>
  <c r="AZ12" i="1"/>
  <c r="AU10" i="1" l="1"/>
  <c r="AA3" i="1" s="1"/>
  <c r="AV52" i="1"/>
  <c r="AV10" i="1" l="1"/>
  <c r="AB2" i="1" s="1"/>
  <c r="AW10" i="1" l="1"/>
  <c r="AB3" i="1" s="1"/>
  <c r="AH3" i="1" s="1"/>
  <c r="AX52" i="1"/>
  <c r="AX10" i="1" l="1"/>
  <c r="AC2" i="1" s="1"/>
  <c r="AZ52" i="1"/>
  <c r="AZ10" i="1" s="1"/>
  <c r="AD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Arina</author>
    <author/>
  </authors>
  <commentList>
    <comment ref="AT9" authorId="0" shapeId="0" xr:uid="{14E787F1-648A-494E-B408-83D03036544A}">
      <text>
        <r>
          <rPr>
            <b/>
            <sz val="9"/>
            <color indexed="81"/>
            <rFont val="Tahoma"/>
            <family val="2"/>
          </rPr>
          <t>Arina:</t>
        </r>
        <r>
          <rPr>
            <sz val="9"/>
            <color indexed="81"/>
            <rFont val="Tahoma"/>
            <family val="2"/>
          </rPr>
          <t xml:space="preserve">
Dimanche 03/11
</t>
        </r>
      </text>
    </comment>
    <comment ref="Z10" authorId="1" shapeId="0" xr:uid="{00000000-0006-0000-0000-000004000000}">
      <text>
        <r>
          <rPr>
            <sz val="10"/>
            <color rgb="FF000000"/>
            <rFont val="Arial1"/>
            <family val="2"/>
          </rPr>
          <t>Effort left went up after some new work has been discovered</t>
        </r>
      </text>
    </comment>
    <comment ref="B11" authorId="1" shapeId="0" xr:uid="{00000000-0006-0000-0000-000005000000}">
      <text>
        <r>
          <rPr>
            <sz val="10"/>
            <color rgb="FF000000"/>
            <rFont val="Arial1"/>
            <family val="2"/>
          </rPr>
          <t>Id of the story. To simplify linking to the product backlog</t>
        </r>
      </text>
    </comment>
  </commentList>
</comments>
</file>

<file path=xl/sharedStrings.xml><?xml version="1.0" encoding="utf-8"?>
<sst xmlns="http://schemas.openxmlformats.org/spreadsheetml/2006/main" count="78" uniqueCount="76">
  <si>
    <t>jour</t>
  </si>
  <si>
    <t>Sommaire effort restant</t>
  </si>
  <si>
    <t>Sommaire efforts dépensé</t>
  </si>
  <si>
    <t>Sprint 1 : Mettre en place les fonctionnalités de base pour l’authentification, la gestion du profil, des cours, des échéances, du calendrier et des notifications d’un système académique et financier.</t>
  </si>
  <si>
    <t>Numéro item product backlog</t>
  </si>
  <si>
    <t>Équipe</t>
  </si>
  <si>
    <t>jours du sprint / (effort restant estimé en début de journée | heures travaillées ce jour)</t>
  </si>
  <si>
    <t>Total pour tâche</t>
  </si>
  <si>
    <t>Total pour tâche par membre équipe</t>
  </si>
  <si>
    <t>Cas d'utilisation ou user-story/tâche</t>
  </si>
  <si>
    <t xml:space="preserve">Authentification utilisateur </t>
  </si>
  <si>
    <t>Création de la page de connexion</t>
  </si>
  <si>
    <t>Creation de la page d'inscription</t>
  </si>
  <si>
    <t xml:space="preserve">Validation </t>
  </si>
  <si>
    <t xml:space="preserve">Setup de Xcode </t>
  </si>
  <si>
    <t>Création du profil d'utilisateur</t>
  </si>
  <si>
    <t>Création de la page principal pour afficher les options pour utilisateur</t>
  </si>
  <si>
    <t>Ajouter la possiblité de faire les changements dans le dossier (ex:ajouter image profil, dark mode, profile details)</t>
  </si>
  <si>
    <t xml:space="preserve">Visualisation du menu pour utilisauter </t>
  </si>
  <si>
    <t>Creation de la base de données pour sauvegarder les information personnels</t>
  </si>
  <si>
    <t>Gestion du cours (ajout)</t>
  </si>
  <si>
    <t>Ajouter cours (code, nom)</t>
  </si>
  <si>
    <t>Sauvegarder le cours</t>
  </si>
  <si>
    <t>Afficher la liste des cours après ajout</t>
  </si>
  <si>
    <t>pour sprint2</t>
  </si>
  <si>
    <t>(Souhaité) Trier les cours selon le nombre d’évaluations ou l’évaluation la plus proche (sera fait quand les échéances seront prêtes)</t>
  </si>
  <si>
    <t>Gestion du seuil du passage</t>
  </si>
  <si>
    <t>Attribuer un pourcentage de passage à un cours</t>
  </si>
  <si>
    <t>Calculer automatiquement le minimum requis pour passer le cours selon les notes déjà obtenues.</t>
  </si>
  <si>
    <t>Gestion du cours(suppression ou modification)</t>
  </si>
  <si>
    <t>Modifier un cours existant</t>
  </si>
  <si>
    <t>Supprimer un cours (ex. abandonné)</t>
  </si>
  <si>
    <t>Ajout des échéances</t>
  </si>
  <si>
    <t>Connexion à la bd via API supabase</t>
  </si>
  <si>
    <t>Setup de Android studio</t>
  </si>
  <si>
    <t>Création de la page des échéances</t>
  </si>
  <si>
    <t>Création de l'ajout des échéances</t>
  </si>
  <si>
    <t>Modification des échéances</t>
  </si>
  <si>
    <t>Ajout de modification des échéances</t>
  </si>
  <si>
    <t>Ajout de suppression des échéances</t>
  </si>
  <si>
    <t xml:space="preserve">Vue calendrier hebdomadaire : Affichage des examens, quiz, paiement à travers une globale du calendrier </t>
  </si>
  <si>
    <t>Création du calendrier basique</t>
  </si>
  <si>
    <t>Ajout de la rubrique évènements à venir</t>
  </si>
  <si>
    <t>Création de la vue globale</t>
  </si>
  <si>
    <t>Ajout de la possibilité de voir les évènements directement sur le calendrier</t>
  </si>
  <si>
    <t>Ajout de la personnalisation du calendrier avec des couleurs au choix</t>
  </si>
  <si>
    <t>Ajout du bouton de personnalisation</t>
  </si>
  <si>
    <t xml:space="preserve">Ajout des couleurs aux choix </t>
  </si>
  <si>
    <t>Ajout de modifications de la police, gras, taille des lettres</t>
  </si>
  <si>
    <t xml:space="preserve">Mise en place de la notifiaction </t>
  </si>
  <si>
    <t>Ajouter la possbilité d'avoir les notifiacations qui sont envoyer par le systeme</t>
  </si>
  <si>
    <t>Ajouter la focntionnalité pour la gestion des notificaitons - fréquence</t>
  </si>
  <si>
    <t>Ajout de l'affichage de la page dans le vue global</t>
  </si>
  <si>
    <t>Ajouter la fonctionnalité seulent la priorité des notifications(ex. examen - notification 3f par semaine, quiz - notifiaction 1-2f par semaine)</t>
  </si>
  <si>
    <t>Gestion des notifications</t>
  </si>
  <si>
    <t>Ajouter la préférances des notifications - matin, soir,etc</t>
  </si>
  <si>
    <t>Ajouter la fréquences pour tous les notifications, peu importe la priorité</t>
  </si>
  <si>
    <t>Desactiver les notifications au besoin par utilisateur pour X temps</t>
  </si>
  <si>
    <t>Prénom</t>
  </si>
  <si>
    <t>Nom</t>
  </si>
  <si>
    <t>email</t>
  </si>
  <si>
    <t>nickname</t>
  </si>
  <si>
    <t>Oryna</t>
  </si>
  <si>
    <t>Kubarieva</t>
  </si>
  <si>
    <t>kubarieva.oryna@courrier.uqam.ca</t>
  </si>
  <si>
    <t>Aziz</t>
  </si>
  <si>
    <t>Thiam</t>
  </si>
  <si>
    <t>thiam.demba_aziz@courrier.uqam.ca</t>
  </si>
  <si>
    <t>Joana</t>
  </si>
  <si>
    <t>Munyaneza</t>
  </si>
  <si>
    <t>munyaneza_mutunge.ursule_joana@courrier.uqam.ca</t>
  </si>
  <si>
    <t>Kenny</t>
  </si>
  <si>
    <t>Kenfack</t>
  </si>
  <si>
    <t>kenfack_nandjou.steve_marvyn@courrier.uqam.ca</t>
  </si>
  <si>
    <t>Romuald</t>
  </si>
  <si>
    <t>Sokoujou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</si>
</sst>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&quot;-&quot;[$$-1009]#,##0.00"/>
  </numFmts>
  <fonts count="17">
    <font>
      <sz val="12"/>
      <color theme="1"/>
      <name val="Arial1"/>
    </font>
    <font>
      <u/>
      <sz val="10"/>
      <color rgb="FF0000FF"/>
      <name val="Arial2"/>
      <family val="2"/>
    </font>
    <font>
      <b/>
      <i/>
      <sz val="16"/>
      <color theme="1"/>
      <name val="Arial1"/>
    </font>
    <font>
      <b/>
      <i/>
      <u/>
      <sz val="12"/>
      <color theme="1"/>
      <name val="Arial1"/>
    </font>
    <font>
      <b/>
      <sz val="12"/>
      <color theme="1"/>
      <name val="Arial1"/>
    </font>
    <font>
      <b/>
      <sz val="10"/>
      <color theme="1"/>
      <name val="Arial2"/>
    </font>
    <font>
      <sz val="10"/>
      <color rgb="FF000000"/>
      <name val="Arial1"/>
      <family val="2"/>
    </font>
    <font>
      <sz val="10"/>
      <color theme="1"/>
      <name val="Arial2"/>
    </font>
    <font>
      <u/>
      <sz val="12"/>
      <color theme="10"/>
      <name val="Arial1"/>
    </font>
    <font>
      <sz val="11"/>
      <color rgb="FF000000"/>
      <name val="Aptos"/>
      <family val="2"/>
    </font>
    <font>
      <u/>
      <sz val="10"/>
      <color theme="10"/>
      <name val="Arial1"/>
    </font>
    <font>
      <sz val="10"/>
      <color theme="1"/>
      <name val="Arial1"/>
    </font>
    <font>
      <sz val="12"/>
      <color theme="1"/>
      <name val="Arial1"/>
    </font>
    <font>
      <sz val="12"/>
      <color theme="1"/>
      <name val="Arial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9"/>
      <color theme="1"/>
      <name val="Arial1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  <xf numFmtId="0" fontId="8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1" xfId="0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4" xfId="0" applyBorder="1"/>
    <xf numFmtId="0" fontId="0" fillId="2" borderId="6" xfId="0" applyFill="1" applyBorder="1"/>
    <xf numFmtId="0" fontId="5" fillId="2" borderId="4" xfId="0" applyFont="1" applyFill="1" applyBorder="1"/>
    <xf numFmtId="0" fontId="0" fillId="2" borderId="0" xfId="0" applyFill="1"/>
    <xf numFmtId="0" fontId="0" fillId="0" borderId="6" xfId="0" applyBorder="1"/>
    <xf numFmtId="0" fontId="7" fillId="0" borderId="4" xfId="0" applyFont="1" applyBorder="1"/>
    <xf numFmtId="0" fontId="5" fillId="2" borderId="0" xfId="0" applyFont="1" applyFill="1"/>
    <xf numFmtId="10" fontId="7" fillId="0" borderId="0" xfId="0" applyNumberFormat="1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0" borderId="0" xfId="0" applyFont="1" applyAlignment="1">
      <alignment horizontal="center" wrapText="1"/>
    </xf>
    <xf numFmtId="0" fontId="9" fillId="0" borderId="0" xfId="0" applyFont="1"/>
    <xf numFmtId="0" fontId="10" fillId="0" borderId="0" xfId="6" applyFont="1" applyAlignment="1">
      <alignment wrapText="1"/>
    </xf>
    <xf numFmtId="0" fontId="10" fillId="0" borderId="0" xfId="6" applyFont="1"/>
    <xf numFmtId="9" fontId="5" fillId="2" borderId="0" xfId="0" applyNumberFormat="1" applyFont="1" applyFill="1"/>
    <xf numFmtId="0" fontId="11" fillId="0" borderId="4" xfId="0" applyFont="1" applyBorder="1"/>
    <xf numFmtId="0" fontId="11" fillId="0" borderId="0" xfId="0" applyFont="1"/>
    <xf numFmtId="0" fontId="13" fillId="0" borderId="0" xfId="7" applyNumberFormat="1" applyFont="1" applyBorder="1"/>
    <xf numFmtId="0" fontId="13" fillId="0" borderId="0" xfId="0" applyFont="1"/>
    <xf numFmtId="0" fontId="13" fillId="0" borderId="0" xfId="7" applyNumberFormat="1" applyFont="1"/>
    <xf numFmtId="9" fontId="5" fillId="2" borderId="0" xfId="7" applyFont="1" applyFill="1"/>
    <xf numFmtId="10" fontId="5" fillId="2" borderId="0" xfId="0" applyNumberFormat="1" applyFont="1" applyFill="1"/>
    <xf numFmtId="0" fontId="5" fillId="4" borderId="4" xfId="0" applyFont="1" applyFill="1" applyBorder="1"/>
    <xf numFmtId="0" fontId="5" fillId="4" borderId="0" xfId="0" applyFont="1" applyFill="1"/>
    <xf numFmtId="9" fontId="5" fillId="4" borderId="0" xfId="7" applyFont="1" applyFill="1"/>
    <xf numFmtId="0" fontId="0" fillId="4" borderId="0" xfId="0" applyFill="1"/>
    <xf numFmtId="0" fontId="11" fillId="5" borderId="4" xfId="0" applyFont="1" applyFill="1" applyBorder="1" applyAlignment="1">
      <alignment wrapText="1"/>
    </xf>
    <xf numFmtId="0" fontId="16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9" fontId="0" fillId="0" borderId="10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8">
    <cellStyle name="Excel_BuiltIn_Hyperlink" xfId="1" xr:uid="{00000000-0005-0000-0000-000000000000}"/>
    <cellStyle name="Heading" xfId="2" xr:uid="{00000000-0005-0000-0000-000001000000}"/>
    <cellStyle name="Heading1" xfId="3" xr:uid="{00000000-0005-0000-0000-000002000000}"/>
    <cellStyle name="Lien hypertexte" xfId="6" builtinId="8"/>
    <cellStyle name="Normal" xfId="0" builtinId="0" customBuiltin="1"/>
    <cellStyle name="Pourcentage" xfId="7" builtinId="5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pPr>
              <a:defRPr sz="825" b="1">
                <a:solidFill>
                  <a:srgbClr val="000000"/>
                </a:solidFill>
                <a:cs typeface="Arial"/>
              </a:defRPr>
            </a:pPr>
            <a:r>
              <a:rPr lang="en-US"/>
              <a:t>Travail restant, par jour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600">
              <a:solidFill>
                <a:srgbClr val="000080"/>
              </a:solidFill>
            </a:ln>
          </c:spPr>
          <c:marker>
            <c:symbol val="diamond"/>
            <c:size val="5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>
                    <a:solidFill>
                      <a:srgbClr val="000000"/>
                    </a:solidFill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backlog!$I$1:$AD$1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backlog!$I$2:$AD$2</c:f>
              <c:numCache>
                <c:formatCode>General</c:formatCode>
                <c:ptCount val="22"/>
                <c:pt idx="0">
                  <c:v>170</c:v>
                </c:pt>
                <c:pt idx="1">
                  <c:v>165</c:v>
                </c:pt>
                <c:pt idx="2">
                  <c:v>162</c:v>
                </c:pt>
                <c:pt idx="3">
                  <c:v>158</c:v>
                </c:pt>
                <c:pt idx="4">
                  <c:v>158</c:v>
                </c:pt>
                <c:pt idx="5">
                  <c:v>147</c:v>
                </c:pt>
                <c:pt idx="6">
                  <c:v>147</c:v>
                </c:pt>
                <c:pt idx="7">
                  <c:v>144</c:v>
                </c:pt>
                <c:pt idx="8">
                  <c:v>139</c:v>
                </c:pt>
                <c:pt idx="9">
                  <c:v>135</c:v>
                </c:pt>
                <c:pt idx="10">
                  <c:v>131</c:v>
                </c:pt>
                <c:pt idx="11">
                  <c:v>126</c:v>
                </c:pt>
                <c:pt idx="12">
                  <c:v>121</c:v>
                </c:pt>
                <c:pt idx="13">
                  <c:v>112</c:v>
                </c:pt>
                <c:pt idx="14">
                  <c:v>103</c:v>
                </c:pt>
                <c:pt idx="15">
                  <c:v>90</c:v>
                </c:pt>
                <c:pt idx="16">
                  <c:v>90</c:v>
                </c:pt>
                <c:pt idx="17">
                  <c:v>83</c:v>
                </c:pt>
                <c:pt idx="18">
                  <c:v>74</c:v>
                </c:pt>
                <c:pt idx="19">
                  <c:v>71</c:v>
                </c:pt>
                <c:pt idx="20">
                  <c:v>42</c:v>
                </c:pt>
                <c:pt idx="2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0-3F47-9C8C-FAE801C0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228896"/>
        <c:axId val="1908226448"/>
      </c:lineChart>
      <c:valAx>
        <c:axId val="1908226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b="1">
                    <a:solidFill>
                      <a:srgbClr val="000000"/>
                    </a:solidFill>
                    <a:cs typeface="Arial"/>
                  </a:defRPr>
                </a:pPr>
                <a:r>
                  <a:rPr lang="en-US"/>
                  <a:t>effort restant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cs typeface="Arial"/>
              </a:defRPr>
            </a:pPr>
            <a:endParaRPr lang="en-US"/>
          </a:p>
        </c:txPr>
        <c:crossAx val="1908228896"/>
        <c:crossesAt val="1"/>
        <c:crossBetween val="between"/>
      </c:valAx>
      <c:catAx>
        <c:axId val="190822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000000"/>
                    </a:solidFill>
                    <a:cs typeface="Arial"/>
                  </a:defRPr>
                </a:pPr>
                <a:r>
                  <a:rPr lang="en-US"/>
                  <a:t>jours du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cs typeface="Arial"/>
              </a:defRPr>
            </a:pPr>
            <a:endParaRPr lang="en-US"/>
          </a:p>
        </c:txPr>
        <c:crossAx val="1908226448"/>
        <c:crossesAt val="0"/>
        <c:auto val="1"/>
        <c:lblAlgn val="ctr"/>
        <c:lblOffset val="100"/>
        <c:noMultiLvlLbl val="0"/>
      </c:catAx>
      <c:spPr>
        <a:solidFill>
          <a:srgbClr val="C0C0C0"/>
        </a:solidFill>
        <a:ln w="126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n-US"/>
              <a:t>Travail effectué (en heures), par jour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cat>
            <c:numRef>
              <c:f>backlog!$I$1:$AD$1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backlog!$I$3:$AD$3</c:f>
              <c:numCache>
                <c:formatCode>General</c:formatCode>
                <c:ptCount val="22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12</c:v>
                </c:pt>
                <c:pt idx="5">
                  <c:v>6</c:v>
                </c:pt>
                <c:pt idx="6">
                  <c:v>11</c:v>
                </c:pt>
                <c:pt idx="7">
                  <c:v>13</c:v>
                </c:pt>
                <c:pt idx="8">
                  <c:v>8</c:v>
                </c:pt>
                <c:pt idx="9">
                  <c:v>4</c:v>
                </c:pt>
                <c:pt idx="10">
                  <c:v>10</c:v>
                </c:pt>
                <c:pt idx="11">
                  <c:v>9</c:v>
                </c:pt>
                <c:pt idx="12">
                  <c:v>9</c:v>
                </c:pt>
                <c:pt idx="13">
                  <c:v>15</c:v>
                </c:pt>
                <c:pt idx="14">
                  <c:v>14</c:v>
                </c:pt>
                <c:pt idx="15">
                  <c:v>12</c:v>
                </c:pt>
                <c:pt idx="16">
                  <c:v>11</c:v>
                </c:pt>
                <c:pt idx="17">
                  <c:v>13</c:v>
                </c:pt>
                <c:pt idx="18">
                  <c:v>13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0-3D47-B095-51C3F7353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079488"/>
        <c:axId val="1847077040"/>
      </c:lineChart>
      <c:valAx>
        <c:axId val="184707704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Heures travaillées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en-US"/>
          </a:p>
        </c:txPr>
        <c:crossAx val="1847079488"/>
        <c:crossesAt val="0"/>
        <c:crossBetween val="between"/>
      </c:valAx>
      <c:catAx>
        <c:axId val="184707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jours du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en-US"/>
          </a:p>
        </c:txPr>
        <c:crossAx val="1847077040"/>
        <c:crossesAt val="0"/>
        <c:auto val="1"/>
        <c:lblAlgn val="ctr"/>
        <c:lblOffset val="100"/>
        <c:noMultiLvlLbl val="0"/>
      </c:catAx>
      <c:spPr>
        <a:solidFill>
          <a:srgbClr val="C0C0C0"/>
        </a:solidFill>
        <a:ln>
          <a:solidFill>
            <a:srgbClr val="000000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800" b="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688394</xdr:colOff>
      <xdr:row>66</xdr:row>
      <xdr:rowOff>125999</xdr:rowOff>
    </xdr:from>
    <xdr:ext cx="6788033" cy="3371301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F39DC6F-BD49-2249-AEAD-5D9FBC1F9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31267</xdr:colOff>
      <xdr:row>66</xdr:row>
      <xdr:rowOff>149578</xdr:rowOff>
    </xdr:from>
    <xdr:ext cx="5749246" cy="3359571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DAFCC27B-C924-9E4D-B134-842509C7FD91}"/>
            </a:ext>
            <a:ext uri="{147F2762-F138-4A5C-976F-8EAC2B608ADB}">
              <a16:predDERef xmlns:a16="http://schemas.microsoft.com/office/drawing/2014/main" pred="{7F39DC6F-BD49-2249-AEAD-5D9FBC1F9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enfack_nandjou.steve_marvyn@courrier.uqam.ca" TargetMode="External"/><Relationship Id="rId2" Type="http://schemas.openxmlformats.org/officeDocument/2006/relationships/hyperlink" Target="mailto:kenfack_nandjou.steve_marvyn@courrier.uqam.ca" TargetMode="External"/><Relationship Id="rId1" Type="http://schemas.openxmlformats.org/officeDocument/2006/relationships/hyperlink" Target="mailto:munyaneza_mutunge.ursule_joana@courrier.uqam.ca" TargetMode="External"/><Relationship Id="rId5" Type="http://schemas.openxmlformats.org/officeDocument/2006/relationships/hyperlink" Target="mailto:kubarieva.oryna@courrier.uqam.ca" TargetMode="External"/><Relationship Id="rId4" Type="http://schemas.openxmlformats.org/officeDocument/2006/relationships/hyperlink" Target="mailto:thiam.demba_aziz@courrier.uqam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5"/>
  <sheetViews>
    <sheetView tabSelected="1" zoomScale="50" zoomScaleNormal="50" workbookViewId="0">
      <pane xSplit="3" ySplit="10" topLeftCell="D18" activePane="bottomRight" state="frozen"/>
      <selection pane="bottomRight" activeCell="A26" sqref="A26:XFD28"/>
      <selection pane="bottomLeft"/>
      <selection pane="topRight"/>
    </sheetView>
  </sheetViews>
  <sheetFormatPr defaultColWidth="11.5546875" defaultRowHeight="15"/>
  <cols>
    <col min="1" max="1" width="11.109375" customWidth="1"/>
    <col min="2" max="2" width="8.109375" customWidth="1"/>
    <col min="3" max="3" width="47.6640625" customWidth="1"/>
    <col min="4" max="4" width="13.21875" customWidth="1"/>
    <col min="5" max="5" width="11.6640625" customWidth="1"/>
    <col min="6" max="6" width="10.21875" customWidth="1"/>
    <col min="7" max="7" width="10.33203125" customWidth="1"/>
    <col min="8" max="8" width="9.5546875" customWidth="1"/>
    <col min="9" max="9" width="5.77734375" customWidth="1"/>
    <col min="10" max="13" width="4.44140625" customWidth="1"/>
    <col min="14" max="14" width="4.88671875" customWidth="1"/>
    <col min="15" max="15" width="4.44140625" customWidth="1"/>
    <col min="16" max="16" width="6" customWidth="1"/>
    <col min="17" max="51" width="4.44140625" customWidth="1"/>
    <col min="52" max="52" width="6.33203125" customWidth="1"/>
    <col min="53" max="1031" width="11.109375" customWidth="1"/>
  </cols>
  <sheetData>
    <row r="1" spans="1:59" ht="15.6">
      <c r="C1" s="1" t="s">
        <v>0</v>
      </c>
      <c r="D1" s="1"/>
      <c r="E1" s="1"/>
      <c r="F1" s="1"/>
      <c r="G1" s="1"/>
      <c r="H1" s="1"/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</row>
    <row r="2" spans="1:59" ht="15.6">
      <c r="C2" s="1" t="s">
        <v>1</v>
      </c>
      <c r="D2" s="1"/>
      <c r="E2" s="1"/>
      <c r="F2" s="1"/>
      <c r="G2" s="1"/>
      <c r="H2" s="1"/>
      <c r="I2">
        <f>J10</f>
        <v>170</v>
      </c>
      <c r="J2">
        <f>L10</f>
        <v>165</v>
      </c>
      <c r="K2">
        <f>N10</f>
        <v>162</v>
      </c>
      <c r="L2">
        <f>P10</f>
        <v>158</v>
      </c>
      <c r="M2">
        <f>R10</f>
        <v>158</v>
      </c>
      <c r="N2">
        <f>T10</f>
        <v>147</v>
      </c>
      <c r="O2">
        <f>V10</f>
        <v>147</v>
      </c>
      <c r="P2">
        <f>X10</f>
        <v>144</v>
      </c>
      <c r="Q2">
        <f>Z10</f>
        <v>139</v>
      </c>
      <c r="R2">
        <f>AB10</f>
        <v>135</v>
      </c>
      <c r="S2">
        <f>AD10</f>
        <v>131</v>
      </c>
      <c r="T2">
        <f>AF10</f>
        <v>126</v>
      </c>
      <c r="U2">
        <f>AH10</f>
        <v>121</v>
      </c>
      <c r="V2">
        <f>AJ10</f>
        <v>112</v>
      </c>
      <c r="W2">
        <f>AL10</f>
        <v>103</v>
      </c>
      <c r="X2">
        <f>AN10</f>
        <v>90</v>
      </c>
      <c r="Y2">
        <f>AP10</f>
        <v>90</v>
      </c>
      <c r="Z2">
        <f>AR10</f>
        <v>83</v>
      </c>
      <c r="AA2">
        <f>AT10</f>
        <v>74</v>
      </c>
      <c r="AB2">
        <f>AV10</f>
        <v>71</v>
      </c>
      <c r="AC2">
        <f>AX10</f>
        <v>42</v>
      </c>
      <c r="AD2">
        <f>AZ10</f>
        <v>33</v>
      </c>
    </row>
    <row r="3" spans="1:59" ht="15.6">
      <c r="C3" s="1" t="s">
        <v>2</v>
      </c>
      <c r="D3" s="1"/>
      <c r="E3" s="1"/>
      <c r="F3" s="1"/>
      <c r="G3" s="1"/>
      <c r="H3" s="1"/>
      <c r="I3">
        <f>K10</f>
        <v>9</v>
      </c>
      <c r="J3">
        <f>M10</f>
        <v>6</v>
      </c>
      <c r="K3">
        <f>O10</f>
        <v>4</v>
      </c>
      <c r="L3">
        <f>Q10</f>
        <v>4</v>
      </c>
      <c r="M3">
        <f>S10</f>
        <v>12</v>
      </c>
      <c r="N3">
        <f>U10</f>
        <v>6</v>
      </c>
      <c r="O3">
        <f>W10</f>
        <v>11</v>
      </c>
      <c r="P3">
        <f>Y10</f>
        <v>13</v>
      </c>
      <c r="Q3">
        <f>AA10</f>
        <v>8</v>
      </c>
      <c r="R3">
        <f>AC10</f>
        <v>4</v>
      </c>
      <c r="S3">
        <f>AE10</f>
        <v>10</v>
      </c>
      <c r="T3">
        <f>AG10</f>
        <v>9</v>
      </c>
      <c r="U3">
        <f>AI10</f>
        <v>9</v>
      </c>
      <c r="V3">
        <f>AK10</f>
        <v>15</v>
      </c>
      <c r="W3">
        <f>AM10</f>
        <v>14</v>
      </c>
      <c r="X3">
        <f>AO10</f>
        <v>12</v>
      </c>
      <c r="Y3">
        <f>AQ10</f>
        <v>11</v>
      </c>
      <c r="Z3">
        <f>AS10</f>
        <v>13</v>
      </c>
      <c r="AA3">
        <f>AU10</f>
        <v>13</v>
      </c>
      <c r="AB3">
        <f>AW10</f>
        <v>29</v>
      </c>
      <c r="AC3">
        <f>AY10</f>
        <v>0</v>
      </c>
      <c r="AD3">
        <f>BA10</f>
        <v>0</v>
      </c>
      <c r="AH3">
        <f>SUM(I3:AD3)</f>
        <v>212</v>
      </c>
    </row>
    <row r="4" spans="1:59" ht="15.6">
      <c r="C4" s="1"/>
      <c r="D4" s="1"/>
      <c r="E4" s="1"/>
      <c r="F4" s="1"/>
      <c r="G4" s="1"/>
      <c r="H4" s="1"/>
    </row>
    <row r="5" spans="1:59">
      <c r="C5" s="2"/>
      <c r="D5" s="2"/>
      <c r="E5" s="2"/>
      <c r="F5" s="2"/>
      <c r="G5" s="2"/>
      <c r="H5" s="2"/>
    </row>
    <row r="6" spans="1:59" ht="52.9">
      <c r="C6" s="23" t="s">
        <v>3</v>
      </c>
      <c r="D6" s="2"/>
      <c r="E6" s="2"/>
      <c r="F6" s="2"/>
      <c r="G6" s="2"/>
      <c r="H6" s="2"/>
    </row>
    <row r="7" spans="1:59" ht="15.6" thickBot="1">
      <c r="J7" s="3"/>
      <c r="K7" s="3"/>
    </row>
    <row r="8" spans="1:59" ht="15.6" thickBot="1">
      <c r="B8" s="48" t="s">
        <v>4</v>
      </c>
      <c r="C8" s="4"/>
      <c r="D8" s="52" t="s">
        <v>5</v>
      </c>
      <c r="E8" s="53"/>
      <c r="F8" s="53"/>
      <c r="G8" s="53"/>
      <c r="H8" s="53"/>
      <c r="I8" s="49" t="s">
        <v>6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1"/>
      <c r="BB8" s="44" t="s">
        <v>7</v>
      </c>
      <c r="BC8" s="46" t="s">
        <v>8</v>
      </c>
      <c r="BD8" s="46"/>
      <c r="BE8" s="46"/>
      <c r="BF8" s="46"/>
      <c r="BG8" s="47"/>
    </row>
    <row r="9" spans="1:59" ht="15.6" thickBot="1">
      <c r="B9" s="48"/>
      <c r="C9" s="5" t="s">
        <v>9</v>
      </c>
      <c r="D9" s="54"/>
      <c r="E9" s="55"/>
      <c r="F9" s="55"/>
      <c r="G9" s="55"/>
      <c r="H9" s="55"/>
      <c r="I9">
        <v>0</v>
      </c>
      <c r="J9" s="42">
        <f>I9+1</f>
        <v>1</v>
      </c>
      <c r="K9" s="42"/>
      <c r="L9" s="42">
        <f>J9+1</f>
        <v>2</v>
      </c>
      <c r="M9" s="42"/>
      <c r="N9" s="42">
        <f>L9+1</f>
        <v>3</v>
      </c>
      <c r="O9" s="42"/>
      <c r="P9" s="42">
        <f>N9+1</f>
        <v>4</v>
      </c>
      <c r="Q9" s="42"/>
      <c r="R9" s="42">
        <f>P9+1</f>
        <v>5</v>
      </c>
      <c r="S9" s="42"/>
      <c r="T9" s="42">
        <f>R9+1</f>
        <v>6</v>
      </c>
      <c r="U9" s="42"/>
      <c r="V9" s="42">
        <f>T9+1</f>
        <v>7</v>
      </c>
      <c r="W9" s="42"/>
      <c r="X9" s="42">
        <f>V9+1</f>
        <v>8</v>
      </c>
      <c r="Y9" s="42"/>
      <c r="Z9" s="42">
        <f>X9+1</f>
        <v>9</v>
      </c>
      <c r="AA9" s="42"/>
      <c r="AB9" s="42">
        <f>Z9+1</f>
        <v>10</v>
      </c>
      <c r="AC9" s="42"/>
      <c r="AD9" s="42">
        <f>AB9+1</f>
        <v>11</v>
      </c>
      <c r="AE9" s="42"/>
      <c r="AF9" s="42">
        <f>AD9+1</f>
        <v>12</v>
      </c>
      <c r="AG9" s="42"/>
      <c r="AH9" s="42">
        <f>AF9+1</f>
        <v>13</v>
      </c>
      <c r="AI9" s="42"/>
      <c r="AJ9" s="42">
        <f>AH9+1</f>
        <v>14</v>
      </c>
      <c r="AK9" s="42"/>
      <c r="AL9" s="42">
        <f>AJ9+1</f>
        <v>15</v>
      </c>
      <c r="AM9" s="42"/>
      <c r="AN9" s="42">
        <f>AL9+1</f>
        <v>16</v>
      </c>
      <c r="AO9" s="42"/>
      <c r="AP9" s="42">
        <f>AN9+1</f>
        <v>17</v>
      </c>
      <c r="AQ9" s="42"/>
      <c r="AR9" s="42">
        <f>AP9+1</f>
        <v>18</v>
      </c>
      <c r="AS9" s="42"/>
      <c r="AT9" s="42">
        <f>AR9+1</f>
        <v>19</v>
      </c>
      <c r="AU9" s="42"/>
      <c r="AV9" s="42">
        <f>AT9+1</f>
        <v>20</v>
      </c>
      <c r="AW9" s="42"/>
      <c r="AX9" s="43">
        <v>21</v>
      </c>
      <c r="AY9" s="43"/>
      <c r="AZ9" s="6">
        <f>AX9+1</f>
        <v>22</v>
      </c>
      <c r="BB9" s="45"/>
      <c r="BC9" s="16" t="str">
        <f>D10</f>
        <v>Oryna</v>
      </c>
      <c r="BD9" s="16" t="str">
        <f>F10</f>
        <v>Romuald</v>
      </c>
      <c r="BE9" s="16" t="str">
        <f>G10</f>
        <v>Kenny</v>
      </c>
      <c r="BF9" s="16" t="str">
        <f>E10</f>
        <v>Aziz</v>
      </c>
      <c r="BG9" s="17" t="str">
        <f>H10</f>
        <v>Joana</v>
      </c>
    </row>
    <row r="10" spans="1:59" ht="21.75" customHeight="1" thickBot="1">
      <c r="B10" s="48"/>
      <c r="C10" s="7"/>
      <c r="D10" s="3" t="str">
        <f>team!D2</f>
        <v>Oryna</v>
      </c>
      <c r="E10" s="3" t="str">
        <f>team!D3</f>
        <v>Aziz</v>
      </c>
      <c r="F10" s="3" t="str">
        <f>team!D6</f>
        <v>Romuald</v>
      </c>
      <c r="G10" s="3" t="str">
        <f>team!D5</f>
        <v>Kenny</v>
      </c>
      <c r="H10" s="3" t="str">
        <f>team!D4</f>
        <v>Joana</v>
      </c>
      <c r="I10" s="3">
        <f t="shared" ref="I10:AX10" si="0">SUM(I11:I519)</f>
        <v>176</v>
      </c>
      <c r="J10" s="3">
        <f t="shared" si="0"/>
        <v>170</v>
      </c>
      <c r="K10" s="3">
        <f t="shared" si="0"/>
        <v>9</v>
      </c>
      <c r="L10" s="3">
        <f t="shared" si="0"/>
        <v>165</v>
      </c>
      <c r="M10" s="3">
        <f t="shared" si="0"/>
        <v>6</v>
      </c>
      <c r="N10" s="3">
        <f t="shared" si="0"/>
        <v>162</v>
      </c>
      <c r="O10" s="3">
        <f t="shared" si="0"/>
        <v>4</v>
      </c>
      <c r="P10" s="3">
        <f t="shared" si="0"/>
        <v>158</v>
      </c>
      <c r="Q10" s="3">
        <f t="shared" si="0"/>
        <v>4</v>
      </c>
      <c r="R10" s="3">
        <f t="shared" si="0"/>
        <v>158</v>
      </c>
      <c r="S10" s="3">
        <f t="shared" si="0"/>
        <v>12</v>
      </c>
      <c r="T10" s="3">
        <f t="shared" si="0"/>
        <v>147</v>
      </c>
      <c r="U10" s="3">
        <f t="shared" si="0"/>
        <v>6</v>
      </c>
      <c r="V10" s="3">
        <f t="shared" si="0"/>
        <v>147</v>
      </c>
      <c r="W10" s="3">
        <f t="shared" si="0"/>
        <v>11</v>
      </c>
      <c r="X10" s="3">
        <f t="shared" si="0"/>
        <v>144</v>
      </c>
      <c r="Y10" s="3">
        <f t="shared" si="0"/>
        <v>13</v>
      </c>
      <c r="Z10" s="3">
        <f t="shared" si="0"/>
        <v>139</v>
      </c>
      <c r="AA10" s="3">
        <f t="shared" si="0"/>
        <v>8</v>
      </c>
      <c r="AB10" s="3">
        <f t="shared" si="0"/>
        <v>135</v>
      </c>
      <c r="AC10" s="3">
        <f t="shared" si="0"/>
        <v>4</v>
      </c>
      <c r="AD10" s="3">
        <f t="shared" si="0"/>
        <v>131</v>
      </c>
      <c r="AE10" s="3">
        <f t="shared" si="0"/>
        <v>10</v>
      </c>
      <c r="AF10" s="3">
        <f t="shared" si="0"/>
        <v>126</v>
      </c>
      <c r="AG10" s="3">
        <f t="shared" si="0"/>
        <v>9</v>
      </c>
      <c r="AH10" s="3">
        <f t="shared" si="0"/>
        <v>121</v>
      </c>
      <c r="AI10" s="3">
        <f t="shared" si="0"/>
        <v>9</v>
      </c>
      <c r="AJ10" s="3">
        <f t="shared" si="0"/>
        <v>112</v>
      </c>
      <c r="AK10" s="3">
        <f t="shared" si="0"/>
        <v>15</v>
      </c>
      <c r="AL10" s="3">
        <f t="shared" si="0"/>
        <v>103</v>
      </c>
      <c r="AM10" s="3">
        <f t="shared" si="0"/>
        <v>14</v>
      </c>
      <c r="AN10" s="3">
        <f t="shared" si="0"/>
        <v>90</v>
      </c>
      <c r="AO10" s="3">
        <f t="shared" si="0"/>
        <v>12</v>
      </c>
      <c r="AP10" s="3">
        <f t="shared" si="0"/>
        <v>90</v>
      </c>
      <c r="AQ10" s="3">
        <f t="shared" si="0"/>
        <v>11</v>
      </c>
      <c r="AR10" s="3">
        <f t="shared" si="0"/>
        <v>83</v>
      </c>
      <c r="AS10" s="3">
        <f t="shared" si="0"/>
        <v>13</v>
      </c>
      <c r="AT10" s="3">
        <f t="shared" si="0"/>
        <v>74</v>
      </c>
      <c r="AU10" s="3">
        <f t="shared" si="0"/>
        <v>13</v>
      </c>
      <c r="AV10" s="3">
        <f t="shared" si="0"/>
        <v>71</v>
      </c>
      <c r="AW10" s="3">
        <f t="shared" si="0"/>
        <v>29</v>
      </c>
      <c r="AX10" s="3">
        <f t="shared" si="0"/>
        <v>42</v>
      </c>
      <c r="AY10" s="8"/>
      <c r="AZ10" s="3">
        <f>SUM(AZ11:AZ519)</f>
        <v>33</v>
      </c>
      <c r="BB10" s="18">
        <f t="shared" ref="BB10:BG10" si="1">SUM(BB11:BB519)</f>
        <v>233</v>
      </c>
      <c r="BC10" s="19">
        <f t="shared" si="1"/>
        <v>56</v>
      </c>
      <c r="BD10" s="19">
        <f t="shared" si="1"/>
        <v>69</v>
      </c>
      <c r="BE10" s="19">
        <f t="shared" si="1"/>
        <v>41</v>
      </c>
      <c r="BF10" s="19">
        <f t="shared" si="1"/>
        <v>43</v>
      </c>
      <c r="BG10" s="20">
        <f t="shared" si="1"/>
        <v>24</v>
      </c>
    </row>
    <row r="11" spans="1:59">
      <c r="A11" s="8"/>
      <c r="B11" s="9">
        <v>1</v>
      </c>
      <c r="C11" s="10" t="s">
        <v>10</v>
      </c>
      <c r="D11" s="27">
        <v>1</v>
      </c>
      <c r="E11" s="14"/>
      <c r="F11" s="14"/>
      <c r="G11" s="14"/>
      <c r="H11" s="14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8"/>
      <c r="BB11" s="21"/>
      <c r="BF11" s="21"/>
      <c r="BG11" s="21"/>
    </row>
    <row r="12" spans="1:59">
      <c r="A12" s="8"/>
      <c r="B12" s="12"/>
      <c r="C12" s="13" t="s">
        <v>11</v>
      </c>
      <c r="D12" s="15">
        <v>1</v>
      </c>
      <c r="E12" s="15">
        <v>0</v>
      </c>
      <c r="F12" s="15">
        <v>0</v>
      </c>
      <c r="G12" s="15">
        <v>0</v>
      </c>
      <c r="H12" s="15">
        <v>0</v>
      </c>
      <c r="I12">
        <v>8</v>
      </c>
      <c r="J12">
        <f>I12</f>
        <v>8</v>
      </c>
      <c r="K12">
        <v>2</v>
      </c>
      <c r="L12">
        <f>J12-K12</f>
        <v>6</v>
      </c>
      <c r="M12">
        <v>1</v>
      </c>
      <c r="N12">
        <f>L12-M12</f>
        <v>5</v>
      </c>
      <c r="O12">
        <v>0</v>
      </c>
      <c r="P12">
        <f>N12-O12</f>
        <v>5</v>
      </c>
      <c r="Q12">
        <v>0</v>
      </c>
      <c r="R12">
        <f>P12-Q12</f>
        <v>5</v>
      </c>
      <c r="S12">
        <v>1</v>
      </c>
      <c r="T12">
        <f>R12-S12</f>
        <v>4</v>
      </c>
      <c r="U12">
        <v>0</v>
      </c>
      <c r="V12">
        <f>T12-U12</f>
        <v>4</v>
      </c>
      <c r="W12">
        <v>0</v>
      </c>
      <c r="X12">
        <f>V12-W12</f>
        <v>4</v>
      </c>
      <c r="Y12">
        <v>1</v>
      </c>
      <c r="Z12">
        <f>X12-Y12</f>
        <v>3</v>
      </c>
      <c r="AA12">
        <v>0</v>
      </c>
      <c r="AB12">
        <f>Z12-AA12</f>
        <v>3</v>
      </c>
      <c r="AC12">
        <v>1</v>
      </c>
      <c r="AD12">
        <f>AB12-AC12</f>
        <v>2</v>
      </c>
      <c r="AE12">
        <v>1</v>
      </c>
      <c r="AF12">
        <f>AD12-AE12</f>
        <v>1</v>
      </c>
      <c r="AG12">
        <v>0</v>
      </c>
      <c r="AH12">
        <f>AF12-AG12</f>
        <v>1</v>
      </c>
      <c r="AI12">
        <v>1</v>
      </c>
      <c r="AJ12">
        <f>AH12-AI12</f>
        <v>0</v>
      </c>
      <c r="AK12">
        <v>0</v>
      </c>
      <c r="AL12">
        <f>AJ12-AK12</f>
        <v>0</v>
      </c>
      <c r="AM12">
        <v>0</v>
      </c>
      <c r="AN12">
        <f>AL12-AM12</f>
        <v>0</v>
      </c>
      <c r="AO12">
        <v>0</v>
      </c>
      <c r="AP12">
        <f>AN12-AO12</f>
        <v>0</v>
      </c>
      <c r="AQ12">
        <v>0</v>
      </c>
      <c r="AR12">
        <f>AP12-AQ12</f>
        <v>0</v>
      </c>
      <c r="AS12">
        <v>0</v>
      </c>
      <c r="AT12">
        <f>AR12-AS12</f>
        <v>0</v>
      </c>
      <c r="AU12">
        <v>0</v>
      </c>
      <c r="AV12">
        <f>AT12-AU12</f>
        <v>0</v>
      </c>
      <c r="AW12">
        <v>0</v>
      </c>
      <c r="AX12">
        <f>AV12-AW12</f>
        <v>0</v>
      </c>
      <c r="AY12" s="8">
        <v>0</v>
      </c>
      <c r="AZ12" s="8">
        <f>AX12-AY12</f>
        <v>0</v>
      </c>
      <c r="BB12" s="22">
        <f>AY12+AW12+AU12+AS12+AQ12+AO12+AM12+AK12+AI12+AG12+AE12+AC12+AA12+Y12+W12+U12+S12+Q12+O12+M12+K12</f>
        <v>8</v>
      </c>
      <c r="BC12">
        <f>BB12*D12</f>
        <v>8</v>
      </c>
      <c r="BD12">
        <f t="shared" ref="BD12:BE15" si="2">BC12*F12</f>
        <v>0</v>
      </c>
      <c r="BE12">
        <f t="shared" si="2"/>
        <v>0</v>
      </c>
      <c r="BF12" s="22">
        <f>BB12*E12</f>
        <v>0</v>
      </c>
      <c r="BG12" s="22">
        <f>BB12*H12</f>
        <v>0</v>
      </c>
    </row>
    <row r="13" spans="1:59" ht="16.5" customHeight="1">
      <c r="A13" s="8"/>
      <c r="B13" s="12"/>
      <c r="C13" s="13" t="s">
        <v>12</v>
      </c>
      <c r="D13" s="15">
        <v>1</v>
      </c>
      <c r="E13" s="15">
        <v>0</v>
      </c>
      <c r="F13" s="15">
        <v>0</v>
      </c>
      <c r="G13" s="15">
        <v>0</v>
      </c>
      <c r="H13" s="15">
        <f t="shared" ref="H13" si="3">1-D13-E13</f>
        <v>0</v>
      </c>
      <c r="I13">
        <v>8</v>
      </c>
      <c r="J13">
        <f>I13</f>
        <v>8</v>
      </c>
      <c r="K13">
        <v>0</v>
      </c>
      <c r="L13">
        <f t="shared" ref="L13:L56" si="4">J13-K13</f>
        <v>8</v>
      </c>
      <c r="M13">
        <v>0</v>
      </c>
      <c r="N13">
        <f>L13-M13</f>
        <v>8</v>
      </c>
      <c r="O13">
        <v>0</v>
      </c>
      <c r="P13">
        <f>N13-O13</f>
        <v>8</v>
      </c>
      <c r="Q13">
        <v>0</v>
      </c>
      <c r="R13">
        <f>P13-Q13</f>
        <v>8</v>
      </c>
      <c r="S13">
        <v>0</v>
      </c>
      <c r="T13">
        <f>R13-S13</f>
        <v>8</v>
      </c>
      <c r="U13">
        <v>0</v>
      </c>
      <c r="V13">
        <f>T13-U13</f>
        <v>8</v>
      </c>
      <c r="W13">
        <v>0</v>
      </c>
      <c r="X13">
        <f>V13-W13</f>
        <v>8</v>
      </c>
      <c r="Y13">
        <v>0</v>
      </c>
      <c r="Z13">
        <f>X13-Y13</f>
        <v>8</v>
      </c>
      <c r="AA13">
        <v>0</v>
      </c>
      <c r="AB13">
        <f>Z13-AA13</f>
        <v>8</v>
      </c>
      <c r="AC13">
        <v>0</v>
      </c>
      <c r="AD13">
        <f>AB13-AC13</f>
        <v>8</v>
      </c>
      <c r="AE13">
        <v>1</v>
      </c>
      <c r="AF13">
        <f>AD13-AE13</f>
        <v>7</v>
      </c>
      <c r="AG13">
        <v>2</v>
      </c>
      <c r="AH13">
        <f>AF13-AG13</f>
        <v>5</v>
      </c>
      <c r="AI13">
        <v>1</v>
      </c>
      <c r="AJ13">
        <f>AH13-AI13</f>
        <v>4</v>
      </c>
      <c r="AK13">
        <v>3</v>
      </c>
      <c r="AL13">
        <f>AJ13-AK13</f>
        <v>1</v>
      </c>
      <c r="AM13">
        <v>0</v>
      </c>
      <c r="AN13">
        <f>AL13-AM13</f>
        <v>1</v>
      </c>
      <c r="AO13">
        <v>0</v>
      </c>
      <c r="AP13">
        <f>AN13-AO13</f>
        <v>1</v>
      </c>
      <c r="AQ13">
        <v>1</v>
      </c>
      <c r="AR13">
        <f>AP13-AQ13</f>
        <v>0</v>
      </c>
      <c r="AS13">
        <v>0</v>
      </c>
      <c r="AT13">
        <f>AR13-AS13</f>
        <v>0</v>
      </c>
      <c r="AU13">
        <v>0</v>
      </c>
      <c r="AV13">
        <f>AT13-AU13</f>
        <v>0</v>
      </c>
      <c r="AW13">
        <v>0</v>
      </c>
      <c r="AX13">
        <f>AV13-AW13</f>
        <v>0</v>
      </c>
      <c r="AY13" s="8">
        <v>0</v>
      </c>
      <c r="AZ13" s="8">
        <f>AX13-AY13</f>
        <v>0</v>
      </c>
      <c r="BB13" s="22">
        <f>AY13+AW13+AU13+AS13+AQ13+AO13+AM13+AK13+AI13+AG13+AE13+AC13+AA13+Y13+W13+U13+S13+Q13+O13+M13+K13</f>
        <v>8</v>
      </c>
      <c r="BC13">
        <f>$BB13*D13</f>
        <v>8</v>
      </c>
      <c r="BD13">
        <f t="shared" si="2"/>
        <v>0</v>
      </c>
      <c r="BE13">
        <f t="shared" si="2"/>
        <v>0</v>
      </c>
      <c r="BF13" s="22">
        <f>$BB13*E13</f>
        <v>0</v>
      </c>
      <c r="BG13" s="22">
        <f>$BB13*H13</f>
        <v>0</v>
      </c>
    </row>
    <row r="14" spans="1:59" ht="14.25" customHeight="1">
      <c r="A14" s="8"/>
      <c r="B14" s="12"/>
      <c r="C14" s="13" t="s">
        <v>13</v>
      </c>
      <c r="D14" s="15">
        <v>1</v>
      </c>
      <c r="E14" s="15">
        <v>0</v>
      </c>
      <c r="F14" s="15">
        <v>0</v>
      </c>
      <c r="G14" s="15">
        <v>0</v>
      </c>
      <c r="H14" s="15">
        <f>1-D14-E14</f>
        <v>0</v>
      </c>
      <c r="I14">
        <v>2</v>
      </c>
      <c r="J14">
        <f>I14</f>
        <v>2</v>
      </c>
      <c r="K14">
        <v>0</v>
      </c>
      <c r="L14">
        <f t="shared" si="4"/>
        <v>2</v>
      </c>
      <c r="M14">
        <v>0</v>
      </c>
      <c r="N14">
        <f>L14-M14</f>
        <v>2</v>
      </c>
      <c r="O14">
        <v>0</v>
      </c>
      <c r="P14">
        <f>N14-O14</f>
        <v>2</v>
      </c>
      <c r="Q14">
        <v>0</v>
      </c>
      <c r="R14">
        <f>P14-Q14</f>
        <v>2</v>
      </c>
      <c r="S14">
        <v>0</v>
      </c>
      <c r="T14">
        <f>R14-S14</f>
        <v>2</v>
      </c>
      <c r="V14">
        <f>T14-U14</f>
        <v>2</v>
      </c>
      <c r="X14">
        <f>V14-W14</f>
        <v>2</v>
      </c>
      <c r="Z14">
        <f>X14-Y14</f>
        <v>2</v>
      </c>
      <c r="AB14">
        <f>Z14-AA14</f>
        <v>2</v>
      </c>
      <c r="AD14">
        <f>AB14-AC14</f>
        <v>2</v>
      </c>
      <c r="AF14">
        <f>AD14-AE14</f>
        <v>2</v>
      </c>
      <c r="AH14">
        <f>AF14-AG14</f>
        <v>2</v>
      </c>
      <c r="AJ14">
        <f>AH14-AI14</f>
        <v>2</v>
      </c>
      <c r="AK14">
        <v>2</v>
      </c>
      <c r="AL14">
        <v>3</v>
      </c>
      <c r="AM14">
        <v>1</v>
      </c>
      <c r="AN14">
        <f>AL14-AM14</f>
        <v>2</v>
      </c>
      <c r="AO14">
        <v>0</v>
      </c>
      <c r="AP14">
        <f>AN14-AO14</f>
        <v>2</v>
      </c>
      <c r="AQ14">
        <v>2</v>
      </c>
      <c r="AR14">
        <v>4</v>
      </c>
      <c r="AS14">
        <v>2</v>
      </c>
      <c r="AT14">
        <f>AR14-AS14</f>
        <v>2</v>
      </c>
      <c r="AU14">
        <v>0</v>
      </c>
      <c r="AV14">
        <f>AT14-AU14</f>
        <v>2</v>
      </c>
      <c r="AW14">
        <v>0</v>
      </c>
      <c r="AX14">
        <f>AV14-AW14</f>
        <v>2</v>
      </c>
      <c r="AY14" s="8">
        <v>2</v>
      </c>
      <c r="AZ14" s="8">
        <f>AX14-AY14</f>
        <v>0</v>
      </c>
      <c r="BB14" s="22">
        <f t="shared" ref="BB14" si="5">AY14+AW14+AU14+AS14+AQ14+AO14+AM14+AK14+AI14+AG14+AE14+AC14+AA14+Y14+W14+U14+S14+Q14+O14+M14+K14</f>
        <v>9</v>
      </c>
      <c r="BC14">
        <f>$BB14*D14</f>
        <v>9</v>
      </c>
      <c r="BD14">
        <f t="shared" si="2"/>
        <v>0</v>
      </c>
      <c r="BE14">
        <f t="shared" si="2"/>
        <v>0</v>
      </c>
      <c r="BF14" s="22">
        <f>$BB14*E14</f>
        <v>0</v>
      </c>
      <c r="BG14" s="22">
        <f>$BB14*H14</f>
        <v>0</v>
      </c>
    </row>
    <row r="15" spans="1:59">
      <c r="A15" s="8"/>
      <c r="B15" s="12"/>
      <c r="C15" s="13" t="s">
        <v>14</v>
      </c>
      <c r="D15" s="15">
        <v>1</v>
      </c>
      <c r="E15" s="15">
        <v>0</v>
      </c>
      <c r="F15" s="15">
        <v>0</v>
      </c>
      <c r="G15" s="15">
        <v>0</v>
      </c>
      <c r="H15" s="15">
        <f>1-D15-E15</f>
        <v>0</v>
      </c>
      <c r="I15">
        <v>5</v>
      </c>
      <c r="J15">
        <f>I15</f>
        <v>5</v>
      </c>
      <c r="K15">
        <v>0</v>
      </c>
      <c r="L15">
        <f>J15-K15</f>
        <v>5</v>
      </c>
      <c r="M15">
        <v>0</v>
      </c>
      <c r="N15">
        <f>L15-M15</f>
        <v>5</v>
      </c>
      <c r="O15">
        <v>0</v>
      </c>
      <c r="P15">
        <f>N15-O15</f>
        <v>5</v>
      </c>
      <c r="Q15">
        <v>0</v>
      </c>
      <c r="R15">
        <f>P15-Q15</f>
        <v>5</v>
      </c>
      <c r="S15">
        <v>0</v>
      </c>
      <c r="T15">
        <f>R15-S15</f>
        <v>5</v>
      </c>
      <c r="U15">
        <v>0</v>
      </c>
      <c r="V15">
        <f>T15-U15</f>
        <v>5</v>
      </c>
      <c r="W15">
        <v>0</v>
      </c>
      <c r="X15">
        <f>V15-W15</f>
        <v>5</v>
      </c>
      <c r="Y15">
        <v>0</v>
      </c>
      <c r="Z15">
        <f>X15-Y15</f>
        <v>5</v>
      </c>
      <c r="AA15">
        <v>0</v>
      </c>
      <c r="AB15">
        <f>Z15-AA15</f>
        <v>5</v>
      </c>
      <c r="AC15">
        <v>0</v>
      </c>
      <c r="AD15">
        <f>AB15-AC15</f>
        <v>5</v>
      </c>
      <c r="AE15">
        <v>0</v>
      </c>
      <c r="AF15">
        <f>AD15-AE15</f>
        <v>5</v>
      </c>
      <c r="AG15">
        <v>0</v>
      </c>
      <c r="AH15">
        <f>AF15-AG15</f>
        <v>5</v>
      </c>
      <c r="AI15">
        <v>0</v>
      </c>
      <c r="AJ15">
        <f>AH15-AI15</f>
        <v>5</v>
      </c>
      <c r="AK15">
        <v>3</v>
      </c>
      <c r="AL15">
        <f>AJ15-AK15</f>
        <v>2</v>
      </c>
      <c r="AM15">
        <v>2</v>
      </c>
      <c r="AN15">
        <f>AL15-AM15</f>
        <v>0</v>
      </c>
      <c r="AO15">
        <v>0</v>
      </c>
      <c r="AP15">
        <f>AN15-AO15</f>
        <v>0</v>
      </c>
      <c r="AQ15">
        <v>0</v>
      </c>
      <c r="AR15">
        <f>AP15-AQ15</f>
        <v>0</v>
      </c>
      <c r="AS15">
        <v>0</v>
      </c>
      <c r="AT15">
        <f>AR15-AS15</f>
        <v>0</v>
      </c>
      <c r="AU15">
        <v>0</v>
      </c>
      <c r="AV15">
        <f>AT15-AU15</f>
        <v>0</v>
      </c>
      <c r="AW15">
        <v>0</v>
      </c>
      <c r="AX15">
        <f>AV15-AW15</f>
        <v>0</v>
      </c>
      <c r="AY15" s="8">
        <v>0</v>
      </c>
      <c r="AZ15" s="8">
        <f>AX15-AY15</f>
        <v>0</v>
      </c>
      <c r="BB15" s="22">
        <f>AY15+AW15+AU15+AS15+AQ15+AO15+AM15+AK15+AI15+AG15+AE15+AC15+AA15+Y15+W15+U15+S15+Q15+O15+M15+K15</f>
        <v>5</v>
      </c>
      <c r="BC15">
        <f>$BB15*D15</f>
        <v>5</v>
      </c>
      <c r="BD15">
        <f t="shared" si="2"/>
        <v>0</v>
      </c>
      <c r="BE15">
        <f t="shared" si="2"/>
        <v>0</v>
      </c>
      <c r="BF15" s="22">
        <f>$BB15*E15</f>
        <v>0</v>
      </c>
      <c r="BG15" s="22">
        <f>$BB15*H15</f>
        <v>0</v>
      </c>
    </row>
    <row r="16" spans="1:59">
      <c r="A16" s="8"/>
      <c r="B16" s="9">
        <v>2</v>
      </c>
      <c r="C16" s="10" t="s">
        <v>15</v>
      </c>
      <c r="D16" s="33">
        <v>1</v>
      </c>
      <c r="E16" s="14"/>
      <c r="F16" s="14"/>
      <c r="G16" s="14"/>
      <c r="H16" s="14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8"/>
      <c r="AZ16" s="11"/>
      <c r="BB16" s="22"/>
      <c r="BF16" s="22"/>
      <c r="BG16" s="22"/>
    </row>
    <row r="17" spans="1:59">
      <c r="A17" s="8"/>
      <c r="B17" s="12"/>
      <c r="C17" s="13" t="s">
        <v>16</v>
      </c>
      <c r="D17" s="15">
        <v>1</v>
      </c>
      <c r="E17" s="15">
        <v>0</v>
      </c>
      <c r="F17" s="15">
        <v>0</v>
      </c>
      <c r="G17" s="15">
        <v>0</v>
      </c>
      <c r="H17" s="15">
        <f>1-D17-E17</f>
        <v>0</v>
      </c>
      <c r="I17">
        <v>6</v>
      </c>
      <c r="J17">
        <f>I17</f>
        <v>6</v>
      </c>
      <c r="K17">
        <v>0</v>
      </c>
      <c r="L17">
        <f t="shared" si="4"/>
        <v>6</v>
      </c>
      <c r="M17">
        <v>0</v>
      </c>
      <c r="N17">
        <f>L17-M17</f>
        <v>6</v>
      </c>
      <c r="O17">
        <v>0</v>
      </c>
      <c r="P17">
        <f>N17-O17</f>
        <v>6</v>
      </c>
      <c r="Q17">
        <v>0</v>
      </c>
      <c r="R17">
        <f>P17-Q17</f>
        <v>6</v>
      </c>
      <c r="S17">
        <v>0</v>
      </c>
      <c r="T17">
        <f>R17-S17</f>
        <v>6</v>
      </c>
      <c r="U17">
        <v>0</v>
      </c>
      <c r="V17">
        <f>T17-U17</f>
        <v>6</v>
      </c>
      <c r="W17">
        <v>0</v>
      </c>
      <c r="X17">
        <f>V17-W17</f>
        <v>6</v>
      </c>
      <c r="Y17">
        <v>0</v>
      </c>
      <c r="Z17">
        <f>X17-Y17</f>
        <v>6</v>
      </c>
      <c r="AA17">
        <v>0</v>
      </c>
      <c r="AB17">
        <f>Z17-AA17</f>
        <v>6</v>
      </c>
      <c r="AC17">
        <v>0</v>
      </c>
      <c r="AD17">
        <f>AB17-AC17</f>
        <v>6</v>
      </c>
      <c r="AE17">
        <v>0</v>
      </c>
      <c r="AF17">
        <f>AD17-AE17</f>
        <v>6</v>
      </c>
      <c r="AG17">
        <v>0</v>
      </c>
      <c r="AH17">
        <f>AF17-AG17</f>
        <v>6</v>
      </c>
      <c r="AI17">
        <v>0</v>
      </c>
      <c r="AJ17">
        <f>AH17-AI17</f>
        <v>6</v>
      </c>
      <c r="AK17">
        <v>0</v>
      </c>
      <c r="AL17">
        <f>AJ17-AK17</f>
        <v>6</v>
      </c>
      <c r="AM17">
        <v>0</v>
      </c>
      <c r="AN17">
        <f>AL17-AM17</f>
        <v>6</v>
      </c>
      <c r="AO17">
        <v>0</v>
      </c>
      <c r="AP17">
        <f>AN17-AO17</f>
        <v>6</v>
      </c>
      <c r="AQ17">
        <v>0</v>
      </c>
      <c r="AR17">
        <f>AP17-AQ17</f>
        <v>6</v>
      </c>
      <c r="AS17">
        <v>0</v>
      </c>
      <c r="AT17">
        <f>AR17-AS17</f>
        <v>6</v>
      </c>
      <c r="AU17">
        <v>0</v>
      </c>
      <c r="AV17">
        <f>AT17-AU17</f>
        <v>6</v>
      </c>
      <c r="AW17">
        <v>0</v>
      </c>
      <c r="AX17">
        <f>AV17-AW17</f>
        <v>6</v>
      </c>
      <c r="AY17" s="8">
        <v>0</v>
      </c>
      <c r="AZ17" s="8">
        <f>AX17-AY17</f>
        <v>6</v>
      </c>
      <c r="BB17" s="22">
        <v>5</v>
      </c>
      <c r="BC17">
        <f>$BB17*D17</f>
        <v>5</v>
      </c>
      <c r="BD17">
        <f t="shared" ref="BD17:BE20" si="6">BC17*F17</f>
        <v>0</v>
      </c>
      <c r="BE17">
        <f t="shared" si="6"/>
        <v>0</v>
      </c>
      <c r="BF17" s="22">
        <f>$BB17*E17</f>
        <v>0</v>
      </c>
      <c r="BG17" s="22">
        <f>$BB17*H17</f>
        <v>0</v>
      </c>
    </row>
    <row r="18" spans="1:59">
      <c r="A18" s="8"/>
      <c r="B18" s="12"/>
      <c r="C18" s="13" t="s">
        <v>17</v>
      </c>
      <c r="D18" s="15">
        <v>1</v>
      </c>
      <c r="E18" s="15">
        <v>0</v>
      </c>
      <c r="F18" s="15">
        <v>0</v>
      </c>
      <c r="G18" s="15">
        <v>0</v>
      </c>
      <c r="H18" s="15">
        <f>1-D18-E18</f>
        <v>0</v>
      </c>
      <c r="I18">
        <v>6</v>
      </c>
      <c r="J18">
        <f>I18</f>
        <v>6</v>
      </c>
      <c r="K18">
        <v>0</v>
      </c>
      <c r="L18">
        <f t="shared" si="4"/>
        <v>6</v>
      </c>
      <c r="M18">
        <v>0</v>
      </c>
      <c r="N18">
        <f>L18-M18</f>
        <v>6</v>
      </c>
      <c r="O18">
        <v>0</v>
      </c>
      <c r="P18">
        <f>N18-O18</f>
        <v>6</v>
      </c>
      <c r="Q18">
        <v>0</v>
      </c>
      <c r="R18">
        <f>P18-Q18</f>
        <v>6</v>
      </c>
      <c r="S18">
        <v>0</v>
      </c>
      <c r="T18">
        <f>R18-S18</f>
        <v>6</v>
      </c>
      <c r="U18">
        <v>0</v>
      </c>
      <c r="V18">
        <f>T18-U18</f>
        <v>6</v>
      </c>
      <c r="W18">
        <v>0</v>
      </c>
      <c r="X18">
        <f>V18-W18</f>
        <v>6</v>
      </c>
      <c r="Y18">
        <v>0</v>
      </c>
      <c r="Z18">
        <f>X18-Y18</f>
        <v>6</v>
      </c>
      <c r="AA18">
        <v>0</v>
      </c>
      <c r="AB18">
        <f>Z18-AA18</f>
        <v>6</v>
      </c>
      <c r="AC18">
        <v>0</v>
      </c>
      <c r="AD18">
        <f>AB18-AC18</f>
        <v>6</v>
      </c>
      <c r="AE18">
        <v>0</v>
      </c>
      <c r="AF18">
        <f>AD18-AE18</f>
        <v>6</v>
      </c>
      <c r="AG18">
        <v>0</v>
      </c>
      <c r="AH18">
        <f>AF18-AG18</f>
        <v>6</v>
      </c>
      <c r="AI18">
        <v>0</v>
      </c>
      <c r="AJ18">
        <f>AH18-AI18</f>
        <v>6</v>
      </c>
      <c r="AK18">
        <v>0</v>
      </c>
      <c r="AL18">
        <f>AJ18-AK18</f>
        <v>6</v>
      </c>
      <c r="AM18">
        <v>0</v>
      </c>
      <c r="AN18">
        <f>AL18-AM18</f>
        <v>6</v>
      </c>
      <c r="AO18">
        <v>0</v>
      </c>
      <c r="AP18">
        <f>AN18-AO18</f>
        <v>6</v>
      </c>
      <c r="AQ18">
        <v>0</v>
      </c>
      <c r="AR18">
        <f>AP18-AQ18</f>
        <v>6</v>
      </c>
      <c r="AS18">
        <v>0</v>
      </c>
      <c r="AT18">
        <f>AR18-AS18</f>
        <v>6</v>
      </c>
      <c r="AU18">
        <v>0</v>
      </c>
      <c r="AV18">
        <f>AT18-AU18</f>
        <v>6</v>
      </c>
      <c r="AW18">
        <v>0</v>
      </c>
      <c r="AX18">
        <f>AV18-AW18</f>
        <v>6</v>
      </c>
      <c r="AY18" s="8">
        <v>0</v>
      </c>
      <c r="AZ18" s="8">
        <f>AX18-AY18</f>
        <v>6</v>
      </c>
      <c r="BB18" s="22">
        <v>4</v>
      </c>
      <c r="BC18">
        <f>$BB18*D18</f>
        <v>4</v>
      </c>
      <c r="BD18">
        <f t="shared" si="6"/>
        <v>0</v>
      </c>
      <c r="BE18">
        <f t="shared" si="6"/>
        <v>0</v>
      </c>
      <c r="BF18" s="22">
        <f>$BB18*E18</f>
        <v>0</v>
      </c>
      <c r="BG18" s="22">
        <f>$BB18*H18</f>
        <v>0</v>
      </c>
    </row>
    <row r="19" spans="1:59">
      <c r="A19" s="8"/>
      <c r="B19" s="12"/>
      <c r="C19" s="13" t="s">
        <v>18</v>
      </c>
      <c r="D19" s="15">
        <v>1</v>
      </c>
      <c r="E19" s="15">
        <v>0</v>
      </c>
      <c r="F19" s="15">
        <v>0</v>
      </c>
      <c r="G19" s="15">
        <v>0</v>
      </c>
      <c r="H19" s="15">
        <f>1-D19-E19</f>
        <v>0</v>
      </c>
      <c r="I19">
        <v>4</v>
      </c>
      <c r="J19">
        <f>I19</f>
        <v>4</v>
      </c>
      <c r="K19">
        <v>0</v>
      </c>
      <c r="L19">
        <f t="shared" si="4"/>
        <v>4</v>
      </c>
      <c r="M19">
        <v>0</v>
      </c>
      <c r="N19">
        <f>L19-M19</f>
        <v>4</v>
      </c>
      <c r="O19">
        <v>0</v>
      </c>
      <c r="P19">
        <f t="shared" ref="P19:P20" si="7">N19-O19</f>
        <v>4</v>
      </c>
      <c r="Q19">
        <v>0</v>
      </c>
      <c r="R19">
        <f>P19-Q19</f>
        <v>4</v>
      </c>
      <c r="S19">
        <v>0</v>
      </c>
      <c r="T19">
        <f t="shared" ref="T19:T20" si="8">R19-S19</f>
        <v>4</v>
      </c>
      <c r="U19">
        <v>0</v>
      </c>
      <c r="V19">
        <f t="shared" ref="V19:V20" si="9">T19-U19</f>
        <v>4</v>
      </c>
      <c r="W19">
        <v>0</v>
      </c>
      <c r="X19">
        <f t="shared" ref="X19:X20" si="10">V19-W19</f>
        <v>4</v>
      </c>
      <c r="Y19">
        <v>0</v>
      </c>
      <c r="Z19">
        <f>X19-Y19</f>
        <v>4</v>
      </c>
      <c r="AA19">
        <v>0</v>
      </c>
      <c r="AB19">
        <f>Z19-AA19</f>
        <v>4</v>
      </c>
      <c r="AC19">
        <v>0</v>
      </c>
      <c r="AD19">
        <f>AB19-AC19</f>
        <v>4</v>
      </c>
      <c r="AE19">
        <v>0</v>
      </c>
      <c r="AF19">
        <f>AD19-AE19</f>
        <v>4</v>
      </c>
      <c r="AG19">
        <v>0</v>
      </c>
      <c r="AH19">
        <f>AF19-AG19</f>
        <v>4</v>
      </c>
      <c r="AI19">
        <v>0</v>
      </c>
      <c r="AJ19">
        <f>AH19-AI19</f>
        <v>4</v>
      </c>
      <c r="AK19">
        <v>0</v>
      </c>
      <c r="AL19">
        <f>AJ19-AK19</f>
        <v>4</v>
      </c>
      <c r="AM19">
        <v>0</v>
      </c>
      <c r="AN19">
        <f>AL19-AM19</f>
        <v>4</v>
      </c>
      <c r="AO19">
        <v>0</v>
      </c>
      <c r="AP19">
        <f>AN19-AO19</f>
        <v>4</v>
      </c>
      <c r="AQ19">
        <v>0</v>
      </c>
      <c r="AR19">
        <f>AP19-AQ19</f>
        <v>4</v>
      </c>
      <c r="AS19">
        <v>0</v>
      </c>
      <c r="AT19">
        <f>AR19-AS19</f>
        <v>4</v>
      </c>
      <c r="AU19">
        <v>0</v>
      </c>
      <c r="AV19">
        <f>AT19-AU19</f>
        <v>4</v>
      </c>
      <c r="AW19">
        <v>0</v>
      </c>
      <c r="AX19">
        <f>AV19-AW19</f>
        <v>4</v>
      </c>
      <c r="AY19" s="8">
        <v>0</v>
      </c>
      <c r="AZ19" s="8">
        <f>AX19-AY19</f>
        <v>4</v>
      </c>
      <c r="BB19" s="22">
        <v>3</v>
      </c>
      <c r="BC19">
        <f>$BB19*D19</f>
        <v>3</v>
      </c>
      <c r="BD19">
        <f t="shared" si="6"/>
        <v>0</v>
      </c>
      <c r="BE19">
        <f t="shared" si="6"/>
        <v>0</v>
      </c>
      <c r="BF19" s="22">
        <f>$BB19*E19</f>
        <v>0</v>
      </c>
      <c r="BG19" s="22">
        <f>$BB19*H19</f>
        <v>0</v>
      </c>
    </row>
    <row r="20" spans="1:59">
      <c r="A20" s="8"/>
      <c r="B20" s="12"/>
      <c r="C20" s="13" t="s">
        <v>19</v>
      </c>
      <c r="D20" s="15">
        <v>1</v>
      </c>
      <c r="E20" s="15">
        <v>0</v>
      </c>
      <c r="F20" s="15">
        <v>0</v>
      </c>
      <c r="G20" s="15">
        <v>0</v>
      </c>
      <c r="H20" s="15">
        <f>1-D20-E20</f>
        <v>0</v>
      </c>
      <c r="I20">
        <v>8</v>
      </c>
      <c r="J20">
        <f>I20</f>
        <v>8</v>
      </c>
      <c r="K20">
        <v>0</v>
      </c>
      <c r="L20">
        <f t="shared" si="4"/>
        <v>8</v>
      </c>
      <c r="M20">
        <v>0</v>
      </c>
      <c r="N20">
        <f>L20-M20</f>
        <v>8</v>
      </c>
      <c r="O20">
        <v>0</v>
      </c>
      <c r="P20">
        <f t="shared" si="7"/>
        <v>8</v>
      </c>
      <c r="Q20">
        <v>0</v>
      </c>
      <c r="R20">
        <f>P20-Q20</f>
        <v>8</v>
      </c>
      <c r="S20">
        <v>0</v>
      </c>
      <c r="T20">
        <f t="shared" si="8"/>
        <v>8</v>
      </c>
      <c r="U20">
        <v>0</v>
      </c>
      <c r="V20">
        <f t="shared" si="9"/>
        <v>8</v>
      </c>
      <c r="W20">
        <v>0</v>
      </c>
      <c r="X20">
        <f t="shared" si="10"/>
        <v>8</v>
      </c>
      <c r="Y20">
        <v>0</v>
      </c>
      <c r="Z20">
        <f>X20-Y20</f>
        <v>8</v>
      </c>
      <c r="AA20">
        <v>0</v>
      </c>
      <c r="AB20">
        <f>Z20-AA20</f>
        <v>8</v>
      </c>
      <c r="AC20">
        <v>0</v>
      </c>
      <c r="AD20">
        <f>AB20-AC20</f>
        <v>8</v>
      </c>
      <c r="AE20">
        <v>0</v>
      </c>
      <c r="AF20">
        <f>AD20-AE20</f>
        <v>8</v>
      </c>
      <c r="AG20">
        <v>0</v>
      </c>
      <c r="AH20">
        <f>AF20-AG20</f>
        <v>8</v>
      </c>
      <c r="AI20">
        <v>4</v>
      </c>
      <c r="AJ20">
        <f>AH20-AI20</f>
        <v>4</v>
      </c>
      <c r="AK20">
        <v>0</v>
      </c>
      <c r="AL20">
        <f>AJ20-AK20</f>
        <v>4</v>
      </c>
      <c r="AM20">
        <v>0</v>
      </c>
      <c r="AN20">
        <f>AL20-AM20</f>
        <v>4</v>
      </c>
      <c r="AO20">
        <v>4</v>
      </c>
      <c r="AP20">
        <f>AN20-AO20</f>
        <v>0</v>
      </c>
      <c r="AQ20">
        <v>0</v>
      </c>
      <c r="AR20">
        <f>AP20-AQ20</f>
        <v>0</v>
      </c>
      <c r="AS20">
        <v>0</v>
      </c>
      <c r="AT20">
        <f>AR20-AS20</f>
        <v>0</v>
      </c>
      <c r="AU20">
        <v>0</v>
      </c>
      <c r="AV20">
        <f>AT20-AU20</f>
        <v>0</v>
      </c>
      <c r="AW20">
        <v>0</v>
      </c>
      <c r="AX20">
        <f>AV20-AW20</f>
        <v>0</v>
      </c>
      <c r="AY20" s="8">
        <v>0</v>
      </c>
      <c r="AZ20" s="8">
        <f>AX20-AY20</f>
        <v>0</v>
      </c>
      <c r="BB20" s="22">
        <f t="shared" ref="BB20" si="11">AY20+AW20+AU20+AS20+AQ20+AO20+AM20+AK20+AI20+AG20+AE20+AC20+AA20+Y20+W20+U20+S20+Q20+O20+M20+K20</f>
        <v>8</v>
      </c>
      <c r="BC20">
        <f>$BB20*D20</f>
        <v>8</v>
      </c>
      <c r="BD20">
        <f t="shared" si="6"/>
        <v>0</v>
      </c>
      <c r="BE20">
        <f t="shared" si="6"/>
        <v>0</v>
      </c>
      <c r="BF20" s="22">
        <f>$BB20*E20</f>
        <v>0</v>
      </c>
      <c r="BG20" s="22">
        <f>$BB20*H20</f>
        <v>0</v>
      </c>
    </row>
    <row r="21" spans="1:59">
      <c r="A21" s="8"/>
      <c r="B21" s="9">
        <v>3</v>
      </c>
      <c r="C21" s="10" t="s">
        <v>20</v>
      </c>
      <c r="D21" s="14"/>
      <c r="E21" s="14"/>
      <c r="F21" s="14"/>
      <c r="G21" s="14"/>
      <c r="H21" s="34">
        <v>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8"/>
      <c r="AZ21" s="11"/>
      <c r="BB21" s="22"/>
      <c r="BF21" s="22"/>
      <c r="BG21" s="22"/>
    </row>
    <row r="22" spans="1:59">
      <c r="A22" s="8"/>
      <c r="B22" s="12"/>
      <c r="C22" s="28" t="s">
        <v>21</v>
      </c>
      <c r="D22" s="15">
        <v>0</v>
      </c>
      <c r="E22" s="15">
        <v>0</v>
      </c>
      <c r="F22" s="15">
        <v>0</v>
      </c>
      <c r="G22" s="15">
        <v>0</v>
      </c>
      <c r="H22" s="15">
        <v>1</v>
      </c>
      <c r="I22" s="31">
        <v>7</v>
      </c>
      <c r="J22">
        <f>I22</f>
        <v>7</v>
      </c>
      <c r="K22">
        <v>0</v>
      </c>
      <c r="L22">
        <f t="shared" si="4"/>
        <v>7</v>
      </c>
      <c r="M22">
        <v>0</v>
      </c>
      <c r="N22">
        <f>L22-M22</f>
        <v>7</v>
      </c>
      <c r="O22">
        <v>0</v>
      </c>
      <c r="P22">
        <f>N22-O22</f>
        <v>7</v>
      </c>
      <c r="Q22">
        <v>0</v>
      </c>
      <c r="R22">
        <f>P22-Q22</f>
        <v>7</v>
      </c>
      <c r="S22">
        <v>0</v>
      </c>
      <c r="T22">
        <f>R22-S22</f>
        <v>7</v>
      </c>
      <c r="U22">
        <v>0</v>
      </c>
      <c r="V22">
        <f>T22-U22</f>
        <v>7</v>
      </c>
      <c r="W22">
        <v>0</v>
      </c>
      <c r="X22">
        <f>V22-W22</f>
        <v>7</v>
      </c>
      <c r="Y22">
        <v>1</v>
      </c>
      <c r="Z22">
        <f>X22-Y22</f>
        <v>6</v>
      </c>
      <c r="AA22">
        <v>0</v>
      </c>
      <c r="AB22">
        <f>Z22-AA22</f>
        <v>6</v>
      </c>
      <c r="AC22">
        <v>0</v>
      </c>
      <c r="AD22">
        <f>AB22-AC22</f>
        <v>6</v>
      </c>
      <c r="AE22">
        <v>1</v>
      </c>
      <c r="AF22">
        <f>AD22-AE22</f>
        <v>5</v>
      </c>
      <c r="AG22">
        <v>3</v>
      </c>
      <c r="AH22">
        <f>AF22-AG22</f>
        <v>2</v>
      </c>
      <c r="AI22">
        <v>0</v>
      </c>
      <c r="AJ22">
        <f>AH22-AI22</f>
        <v>2</v>
      </c>
      <c r="AK22">
        <v>2</v>
      </c>
      <c r="AL22">
        <f>AJ22-AK22</f>
        <v>0</v>
      </c>
      <c r="AM22">
        <v>0</v>
      </c>
      <c r="AN22">
        <f>AL22-AM22</f>
        <v>0</v>
      </c>
      <c r="AO22">
        <v>0</v>
      </c>
      <c r="AP22">
        <v>2</v>
      </c>
      <c r="AQ22">
        <v>1</v>
      </c>
      <c r="AR22">
        <f>AP22-AQ22</f>
        <v>1</v>
      </c>
      <c r="AS22">
        <v>0</v>
      </c>
      <c r="AT22">
        <f>AR22-AS22</f>
        <v>1</v>
      </c>
      <c r="AU22">
        <v>1</v>
      </c>
      <c r="AV22">
        <f>AT22-AU22</f>
        <v>0</v>
      </c>
      <c r="AX22">
        <f>AV22-AW22</f>
        <v>0</v>
      </c>
      <c r="AY22" s="8"/>
      <c r="AZ22" s="8">
        <f>AX22-AY22</f>
        <v>0</v>
      </c>
      <c r="BB22" s="22">
        <f>AY22+AW22+AU22+AS22+AQ22+AO22+AM22+AK22+AI22+AG22+AE22+AC22+AA22+Y22+W22+U22+S22+Q22+O22+M22+K22</f>
        <v>9</v>
      </c>
      <c r="BC22">
        <f>$BB22*D22</f>
        <v>0</v>
      </c>
      <c r="BD22">
        <f>BC22*F22</f>
        <v>0</v>
      </c>
      <c r="BE22">
        <f>BD22*G22</f>
        <v>0</v>
      </c>
      <c r="BF22" s="22">
        <f>$BB22*E22</f>
        <v>0</v>
      </c>
      <c r="BG22" s="22">
        <f>$BB22*H22</f>
        <v>9</v>
      </c>
    </row>
    <row r="23" spans="1:59">
      <c r="A23" s="8"/>
      <c r="B23" s="12"/>
      <c r="C23" s="28" t="s">
        <v>22</v>
      </c>
      <c r="D23" s="15">
        <v>0</v>
      </c>
      <c r="E23" s="15">
        <v>0</v>
      </c>
      <c r="F23" s="15">
        <v>0</v>
      </c>
      <c r="G23" s="15">
        <v>0</v>
      </c>
      <c r="H23" s="15">
        <v>1</v>
      </c>
      <c r="I23" s="31">
        <v>3</v>
      </c>
      <c r="J23">
        <f>I23</f>
        <v>3</v>
      </c>
      <c r="K23">
        <v>0</v>
      </c>
      <c r="L23">
        <f>J23-K23</f>
        <v>3</v>
      </c>
      <c r="M23">
        <v>0</v>
      </c>
      <c r="N23">
        <f>L23-M23</f>
        <v>3</v>
      </c>
      <c r="O23">
        <v>0</v>
      </c>
      <c r="P23">
        <f>N23-O23</f>
        <v>3</v>
      </c>
      <c r="Q23">
        <v>0</v>
      </c>
      <c r="R23">
        <f>P23-Q23</f>
        <v>3</v>
      </c>
      <c r="S23">
        <v>0</v>
      </c>
      <c r="T23">
        <f>R23-S23</f>
        <v>3</v>
      </c>
      <c r="U23">
        <v>0</v>
      </c>
      <c r="V23">
        <f>T23-U23</f>
        <v>3</v>
      </c>
      <c r="W23">
        <v>0</v>
      </c>
      <c r="X23">
        <f>V23-W23</f>
        <v>3</v>
      </c>
      <c r="Y23">
        <v>0</v>
      </c>
      <c r="Z23">
        <f>X23-Y23</f>
        <v>3</v>
      </c>
      <c r="AA23">
        <v>0</v>
      </c>
      <c r="AB23">
        <f>Z23-AA23</f>
        <v>3</v>
      </c>
      <c r="AC23">
        <v>0</v>
      </c>
      <c r="AD23">
        <f>AB23-AC23</f>
        <v>3</v>
      </c>
      <c r="AE23">
        <v>0</v>
      </c>
      <c r="AF23">
        <f>AD23-AE23</f>
        <v>3</v>
      </c>
      <c r="AG23">
        <v>0</v>
      </c>
      <c r="AH23">
        <f>AF23-AG23</f>
        <v>3</v>
      </c>
      <c r="AI23">
        <v>1</v>
      </c>
      <c r="AJ23">
        <f>AH23-AI23</f>
        <v>2</v>
      </c>
      <c r="AK23">
        <v>0</v>
      </c>
      <c r="AL23">
        <f>AJ23-AK23</f>
        <v>2</v>
      </c>
      <c r="AM23">
        <v>0</v>
      </c>
      <c r="AN23">
        <f>AL23-AM23</f>
        <v>2</v>
      </c>
      <c r="AO23">
        <v>0</v>
      </c>
      <c r="AP23">
        <f>AN23-AO23</f>
        <v>2</v>
      </c>
      <c r="AQ23">
        <v>1</v>
      </c>
      <c r="AR23">
        <f>AP23-AQ23</f>
        <v>1</v>
      </c>
      <c r="AS23">
        <v>0</v>
      </c>
      <c r="AT23">
        <f>AR23-AS23</f>
        <v>1</v>
      </c>
      <c r="AU23">
        <v>0</v>
      </c>
      <c r="AV23">
        <v>1</v>
      </c>
      <c r="AW23">
        <v>1</v>
      </c>
      <c r="AX23">
        <f>AV23-AW23</f>
        <v>0</v>
      </c>
      <c r="AY23" s="8">
        <v>0</v>
      </c>
      <c r="AZ23" s="8">
        <v>0</v>
      </c>
      <c r="BB23" s="22">
        <f>AY23+AW23+AU23+AS23+AQ23+AO23+AM23+AK23+AI23+AG23+AE23+AC23+AA23+Y23+W23+U23+S23+Q23+O23+M23+K23</f>
        <v>3</v>
      </c>
      <c r="BC23">
        <v>0</v>
      </c>
      <c r="BD23">
        <v>0</v>
      </c>
      <c r="BE23">
        <v>0</v>
      </c>
      <c r="BF23" s="22">
        <v>0</v>
      </c>
      <c r="BG23" s="22">
        <f>$BB23*H23</f>
        <v>3</v>
      </c>
    </row>
    <row r="24" spans="1:59">
      <c r="A24" s="8"/>
      <c r="B24" s="12"/>
      <c r="C24" s="28" t="s">
        <v>23</v>
      </c>
      <c r="D24" s="15">
        <v>0</v>
      </c>
      <c r="E24" s="15">
        <v>0</v>
      </c>
      <c r="F24" s="15">
        <v>0</v>
      </c>
      <c r="G24" s="15">
        <v>0</v>
      </c>
      <c r="H24" s="15">
        <v>1</v>
      </c>
      <c r="I24" s="31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3</v>
      </c>
      <c r="AQ24">
        <v>1</v>
      </c>
      <c r="AR24">
        <v>2</v>
      </c>
      <c r="AS24">
        <v>0</v>
      </c>
      <c r="AT24">
        <v>2</v>
      </c>
      <c r="AU24">
        <v>0</v>
      </c>
      <c r="AV24">
        <v>2</v>
      </c>
      <c r="AW24">
        <v>2</v>
      </c>
      <c r="AX24">
        <v>0</v>
      </c>
      <c r="AY24" s="8">
        <v>0</v>
      </c>
      <c r="AZ24" s="8">
        <v>0</v>
      </c>
      <c r="BB24" s="22">
        <f>AY24+AW24+AU24+AS24+AQ24+AO24+AM24+AK24+AI24+AG24+AE24+AC24+AA24+Y24+W24+U24+S24+Q24+O24+M24+K24</f>
        <v>4</v>
      </c>
      <c r="BC24">
        <v>0</v>
      </c>
      <c r="BD24">
        <v>0</v>
      </c>
      <c r="BE24">
        <v>0</v>
      </c>
      <c r="BF24" s="22">
        <v>0</v>
      </c>
      <c r="BG24" s="22">
        <f>$BB24*H24</f>
        <v>4</v>
      </c>
    </row>
    <row r="25" spans="1:59" ht="26.25" customHeight="1">
      <c r="A25" s="8"/>
      <c r="B25" s="40" t="s">
        <v>24</v>
      </c>
      <c r="C25" s="39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1</v>
      </c>
      <c r="I25" s="31">
        <v>5</v>
      </c>
      <c r="J25">
        <f t="shared" ref="J25" si="12">I25</f>
        <v>5</v>
      </c>
      <c r="K25">
        <v>0</v>
      </c>
      <c r="L25">
        <f t="shared" si="4"/>
        <v>5</v>
      </c>
      <c r="M25">
        <v>0</v>
      </c>
      <c r="N25">
        <f>L25-M25</f>
        <v>5</v>
      </c>
      <c r="O25">
        <v>0</v>
      </c>
      <c r="P25">
        <f t="shared" ref="P25:P65" si="13">N25-O25</f>
        <v>5</v>
      </c>
      <c r="Q25">
        <v>0</v>
      </c>
      <c r="R25">
        <f t="shared" ref="R25:R65" si="14">P25-Q25</f>
        <v>5</v>
      </c>
      <c r="S25">
        <v>0</v>
      </c>
      <c r="T25">
        <f t="shared" ref="T25:T65" si="15">R25-S25</f>
        <v>5</v>
      </c>
      <c r="U25">
        <v>0</v>
      </c>
      <c r="V25">
        <f t="shared" ref="V25:V65" si="16">T25-U25</f>
        <v>5</v>
      </c>
      <c r="W25">
        <v>0</v>
      </c>
      <c r="X25">
        <f t="shared" ref="X25:X65" si="17">V25-W25</f>
        <v>5</v>
      </c>
      <c r="Z25">
        <f t="shared" ref="Z25:Z65" si="18">X25-Y25</f>
        <v>5</v>
      </c>
      <c r="AB25">
        <f t="shared" ref="AB25:AB65" si="19">Z25-AA25</f>
        <v>5</v>
      </c>
      <c r="AD25">
        <f t="shared" ref="AD25:AD65" si="20">AB25-AC25</f>
        <v>5</v>
      </c>
      <c r="AF25">
        <f t="shared" ref="AF25:AF65" si="21">AD25-AE25</f>
        <v>5</v>
      </c>
      <c r="AH25">
        <f t="shared" ref="AH25:AH65" si="22">AF25-AG25</f>
        <v>5</v>
      </c>
      <c r="AJ25">
        <f t="shared" ref="AJ25:AJ65" si="23">AH25-AI25</f>
        <v>5</v>
      </c>
      <c r="AL25">
        <f t="shared" ref="AL25:AL65" si="24">AJ25-AK25</f>
        <v>5</v>
      </c>
      <c r="AN25">
        <f t="shared" ref="AN25:AN65" si="25">AL25-AM25</f>
        <v>5</v>
      </c>
      <c r="AP25">
        <f t="shared" ref="AP25:AP65" si="26">AN25-AO25</f>
        <v>5</v>
      </c>
      <c r="AR25">
        <f t="shared" ref="AR25:AR65" si="27">AP25-AQ25</f>
        <v>5</v>
      </c>
      <c r="AT25">
        <f t="shared" ref="AT25:AT65" si="28">AR25-AS25</f>
        <v>5</v>
      </c>
      <c r="AV25">
        <f t="shared" ref="AV25:AV65" si="29">AT25-AU25</f>
        <v>5</v>
      </c>
      <c r="AX25">
        <f t="shared" ref="AX25:AX65" si="30">AV25-AW25</f>
        <v>5</v>
      </c>
      <c r="AY25" s="8"/>
      <c r="AZ25" s="8">
        <f t="shared" ref="AZ25:AZ65" si="31">AX25-AY25</f>
        <v>5</v>
      </c>
      <c r="BB25" s="22">
        <f>AY25+AW25+AU25+AS25+AQ25+AO25+AM25+AK25+AI25+AG25+AE25+AC25+AA25+Y25+W25+U25+S25+Q25+O25+M25+K25</f>
        <v>0</v>
      </c>
      <c r="BC25">
        <f t="shared" ref="BC25" si="32">$BB25*D25</f>
        <v>0</v>
      </c>
      <c r="BD25">
        <f>BC25*F25</f>
        <v>0</v>
      </c>
      <c r="BE25">
        <f>BD25*G25</f>
        <v>0</v>
      </c>
      <c r="BF25" s="22">
        <f t="shared" ref="BF25" si="33">$BB25*E25</f>
        <v>0</v>
      </c>
      <c r="BG25" s="22">
        <f>$BB25*H25</f>
        <v>0</v>
      </c>
    </row>
    <row r="26" spans="1:59">
      <c r="A26" s="8"/>
      <c r="B26" s="9">
        <v>4</v>
      </c>
      <c r="C26" s="10" t="s">
        <v>26</v>
      </c>
      <c r="D26" s="14"/>
      <c r="E26" s="14"/>
      <c r="F26" s="14"/>
      <c r="G26" s="14"/>
      <c r="H26" s="33">
        <v>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8"/>
      <c r="AZ26" s="11"/>
      <c r="BB26" s="22"/>
      <c r="BF26" s="22"/>
      <c r="BG26" s="22"/>
    </row>
    <row r="27" spans="1:59">
      <c r="A27" s="8"/>
      <c r="B27" s="12"/>
      <c r="C27" s="2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1</v>
      </c>
      <c r="I27">
        <v>2</v>
      </c>
      <c r="J27">
        <f>I27</f>
        <v>2</v>
      </c>
      <c r="K27">
        <v>0</v>
      </c>
      <c r="L27">
        <f t="shared" si="4"/>
        <v>2</v>
      </c>
      <c r="M27">
        <v>0</v>
      </c>
      <c r="N27">
        <f>L27-M27</f>
        <v>2</v>
      </c>
      <c r="O27">
        <v>0</v>
      </c>
      <c r="P27">
        <f t="shared" si="13"/>
        <v>2</v>
      </c>
      <c r="Q27">
        <v>0</v>
      </c>
      <c r="R27">
        <f t="shared" si="14"/>
        <v>2</v>
      </c>
      <c r="S27">
        <v>0</v>
      </c>
      <c r="T27">
        <f t="shared" si="15"/>
        <v>2</v>
      </c>
      <c r="U27">
        <v>0</v>
      </c>
      <c r="V27">
        <f t="shared" si="16"/>
        <v>2</v>
      </c>
      <c r="W27">
        <v>0</v>
      </c>
      <c r="X27">
        <f t="shared" si="17"/>
        <v>2</v>
      </c>
      <c r="Y27">
        <v>0</v>
      </c>
      <c r="Z27">
        <f t="shared" si="18"/>
        <v>2</v>
      </c>
      <c r="AA27">
        <v>0</v>
      </c>
      <c r="AB27">
        <f t="shared" si="19"/>
        <v>2</v>
      </c>
      <c r="AC27">
        <v>0</v>
      </c>
      <c r="AD27">
        <f t="shared" si="20"/>
        <v>2</v>
      </c>
      <c r="AE27">
        <v>0</v>
      </c>
      <c r="AF27">
        <f t="shared" si="21"/>
        <v>2</v>
      </c>
      <c r="AG27">
        <v>0</v>
      </c>
      <c r="AH27">
        <f t="shared" si="22"/>
        <v>2</v>
      </c>
      <c r="AI27">
        <v>0</v>
      </c>
      <c r="AJ27">
        <f t="shared" si="23"/>
        <v>2</v>
      </c>
      <c r="AK27">
        <v>0</v>
      </c>
      <c r="AL27">
        <f t="shared" si="24"/>
        <v>2</v>
      </c>
      <c r="AM27">
        <v>2</v>
      </c>
      <c r="AN27">
        <f t="shared" si="25"/>
        <v>0</v>
      </c>
      <c r="AO27">
        <v>0</v>
      </c>
      <c r="AP27">
        <f t="shared" si="26"/>
        <v>0</v>
      </c>
      <c r="AQ27">
        <v>0</v>
      </c>
      <c r="AR27">
        <f t="shared" si="27"/>
        <v>0</v>
      </c>
      <c r="AS27">
        <v>0</v>
      </c>
      <c r="AT27">
        <f t="shared" si="28"/>
        <v>0</v>
      </c>
      <c r="AU27">
        <v>0</v>
      </c>
      <c r="AV27">
        <v>2</v>
      </c>
      <c r="AW27">
        <v>2</v>
      </c>
      <c r="AX27">
        <f t="shared" si="30"/>
        <v>0</v>
      </c>
      <c r="AY27" s="8"/>
      <c r="AZ27" s="8">
        <f t="shared" si="31"/>
        <v>0</v>
      </c>
      <c r="BB27" s="22">
        <f t="shared" ref="BB27:BB65" si="34">AY27+AW27+AU27+AS27+AQ27+AO27+AM27+AK27+AI27+AG27+AE27+AC27+AA27+Y27+W27+U27+S27+Q27+O27+M27+K27</f>
        <v>4</v>
      </c>
      <c r="BC27">
        <f t="shared" ref="BC27:BC28" si="35">$BB27*D27</f>
        <v>0</v>
      </c>
      <c r="BD27">
        <f t="shared" ref="BD27:BE31" si="36">BC27*F27</f>
        <v>0</v>
      </c>
      <c r="BE27">
        <f t="shared" si="36"/>
        <v>0</v>
      </c>
      <c r="BF27" s="22">
        <f t="shared" ref="BF27:BF28" si="37">$BB27*E27</f>
        <v>0</v>
      </c>
      <c r="BG27" s="22">
        <f>$BB27*H27</f>
        <v>4</v>
      </c>
    </row>
    <row r="28" spans="1:59" ht="26.25" customHeight="1">
      <c r="A28" s="8"/>
      <c r="B28" s="40" t="s">
        <v>24</v>
      </c>
      <c r="C28" s="39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1</v>
      </c>
      <c r="I28">
        <v>5</v>
      </c>
      <c r="J28">
        <f t="shared" ref="J28" si="38">I28</f>
        <v>5</v>
      </c>
      <c r="K28">
        <v>0</v>
      </c>
      <c r="L28">
        <f t="shared" si="4"/>
        <v>5</v>
      </c>
      <c r="M28">
        <v>0</v>
      </c>
      <c r="N28">
        <f>L28-M28</f>
        <v>5</v>
      </c>
      <c r="O28">
        <v>0</v>
      </c>
      <c r="P28">
        <f t="shared" si="13"/>
        <v>5</v>
      </c>
      <c r="Q28">
        <v>0</v>
      </c>
      <c r="R28">
        <f t="shared" si="14"/>
        <v>5</v>
      </c>
      <c r="S28">
        <v>0</v>
      </c>
      <c r="T28">
        <f t="shared" si="15"/>
        <v>5</v>
      </c>
      <c r="U28">
        <v>0</v>
      </c>
      <c r="V28">
        <f t="shared" si="16"/>
        <v>5</v>
      </c>
      <c r="W28">
        <v>0</v>
      </c>
      <c r="X28">
        <f t="shared" si="17"/>
        <v>5</v>
      </c>
      <c r="Z28">
        <f t="shared" si="18"/>
        <v>5</v>
      </c>
      <c r="AB28">
        <f t="shared" si="19"/>
        <v>5</v>
      </c>
      <c r="AD28">
        <f t="shared" si="20"/>
        <v>5</v>
      </c>
      <c r="AF28">
        <f t="shared" si="21"/>
        <v>5</v>
      </c>
      <c r="AH28">
        <f t="shared" si="22"/>
        <v>5</v>
      </c>
      <c r="AJ28">
        <f t="shared" si="23"/>
        <v>5</v>
      </c>
      <c r="AL28">
        <f t="shared" si="24"/>
        <v>5</v>
      </c>
      <c r="AN28">
        <f t="shared" si="25"/>
        <v>5</v>
      </c>
      <c r="AP28">
        <f t="shared" si="26"/>
        <v>5</v>
      </c>
      <c r="AR28">
        <f t="shared" si="27"/>
        <v>5</v>
      </c>
      <c r="AT28">
        <f t="shared" si="28"/>
        <v>5</v>
      </c>
      <c r="AV28">
        <f t="shared" si="29"/>
        <v>5</v>
      </c>
      <c r="AX28">
        <f t="shared" si="30"/>
        <v>5</v>
      </c>
      <c r="AY28" s="8"/>
      <c r="AZ28" s="8">
        <f t="shared" si="31"/>
        <v>5</v>
      </c>
      <c r="BB28" s="22">
        <f t="shared" si="34"/>
        <v>0</v>
      </c>
      <c r="BC28">
        <f t="shared" si="35"/>
        <v>0</v>
      </c>
      <c r="BD28">
        <f t="shared" si="36"/>
        <v>0</v>
      </c>
      <c r="BE28">
        <f t="shared" si="36"/>
        <v>0</v>
      </c>
      <c r="BF28" s="22">
        <f t="shared" si="37"/>
        <v>0</v>
      </c>
      <c r="BG28" s="22">
        <f>$BB28*H28</f>
        <v>0</v>
      </c>
    </row>
    <row r="29" spans="1:59">
      <c r="A29" s="8"/>
      <c r="B29" s="9">
        <v>5</v>
      </c>
      <c r="C29" s="10" t="s">
        <v>29</v>
      </c>
      <c r="D29" s="14"/>
      <c r="E29" s="14"/>
      <c r="F29" s="14"/>
      <c r="G29" s="14"/>
      <c r="H29" s="33">
        <v>1</v>
      </c>
      <c r="I29" s="11"/>
      <c r="J29" s="11"/>
      <c r="K29" s="11"/>
      <c r="L29" s="11"/>
      <c r="M29" s="11"/>
      <c r="N29" s="11"/>
      <c r="O29" s="11"/>
      <c r="P29" s="14"/>
      <c r="Q29" s="14"/>
      <c r="R29" s="11"/>
      <c r="S29" s="11"/>
      <c r="T29" s="11"/>
      <c r="U29" s="11"/>
      <c r="V29" s="11"/>
      <c r="W29" s="11"/>
      <c r="X29" s="11"/>
      <c r="Y29" s="14"/>
      <c r="Z29" s="14"/>
      <c r="AA29" s="11"/>
      <c r="AB29" s="11"/>
      <c r="AC29" s="11"/>
      <c r="AD29" s="11"/>
      <c r="AE29" s="11"/>
      <c r="AF29" s="11"/>
      <c r="AG29" s="11"/>
      <c r="AH29" s="14"/>
      <c r="AI29" s="14"/>
      <c r="AJ29" s="11"/>
      <c r="AK29" s="11"/>
      <c r="AL29" s="11"/>
      <c r="AM29" s="11"/>
      <c r="AN29" s="11"/>
      <c r="AO29" s="11"/>
      <c r="AP29" s="11"/>
      <c r="AQ29" s="14"/>
      <c r="AR29" s="14"/>
      <c r="AS29" s="11"/>
      <c r="AT29" s="11"/>
      <c r="AU29" s="11"/>
      <c r="AV29" s="11"/>
      <c r="AW29" s="11"/>
      <c r="AX29" s="11"/>
      <c r="AY29" s="8"/>
      <c r="AZ29" s="11"/>
      <c r="BB29" s="22"/>
      <c r="BD29">
        <f t="shared" si="36"/>
        <v>0</v>
      </c>
      <c r="BE29">
        <f t="shared" si="36"/>
        <v>0</v>
      </c>
      <c r="BF29" s="22"/>
      <c r="BG29" s="22"/>
    </row>
    <row r="30" spans="1:59">
      <c r="A30" s="8"/>
      <c r="B30" s="12"/>
      <c r="C30" s="28" t="s">
        <v>30</v>
      </c>
      <c r="D30" s="15">
        <v>0</v>
      </c>
      <c r="E30" s="15">
        <v>0</v>
      </c>
      <c r="F30" s="15">
        <v>0</v>
      </c>
      <c r="G30" s="15">
        <v>0</v>
      </c>
      <c r="H30" s="15">
        <v>1</v>
      </c>
      <c r="I30">
        <v>3</v>
      </c>
      <c r="J30">
        <f>I30</f>
        <v>3</v>
      </c>
      <c r="K30">
        <v>0</v>
      </c>
      <c r="L30">
        <f t="shared" si="4"/>
        <v>3</v>
      </c>
      <c r="M30">
        <v>0</v>
      </c>
      <c r="N30">
        <f>L30-M30</f>
        <v>3</v>
      </c>
      <c r="O30">
        <v>0</v>
      </c>
      <c r="P30">
        <f t="shared" si="13"/>
        <v>3</v>
      </c>
      <c r="Q30">
        <v>0</v>
      </c>
      <c r="R30">
        <f t="shared" si="14"/>
        <v>3</v>
      </c>
      <c r="S30">
        <v>0</v>
      </c>
      <c r="T30">
        <f t="shared" si="15"/>
        <v>3</v>
      </c>
      <c r="U30">
        <v>0</v>
      </c>
      <c r="V30">
        <f t="shared" si="16"/>
        <v>3</v>
      </c>
      <c r="W30">
        <v>0</v>
      </c>
      <c r="X30">
        <f t="shared" si="17"/>
        <v>3</v>
      </c>
      <c r="Y30">
        <v>0</v>
      </c>
      <c r="Z30">
        <f t="shared" si="18"/>
        <v>3</v>
      </c>
      <c r="AA30">
        <v>0</v>
      </c>
      <c r="AB30">
        <f t="shared" si="19"/>
        <v>3</v>
      </c>
      <c r="AC30">
        <v>0</v>
      </c>
      <c r="AD30">
        <f t="shared" si="20"/>
        <v>3</v>
      </c>
      <c r="AE30">
        <v>0</v>
      </c>
      <c r="AF30">
        <f t="shared" si="21"/>
        <v>3</v>
      </c>
      <c r="AG30">
        <v>0</v>
      </c>
      <c r="AH30">
        <f t="shared" si="22"/>
        <v>3</v>
      </c>
      <c r="AI30">
        <v>0</v>
      </c>
      <c r="AJ30">
        <f t="shared" si="23"/>
        <v>3</v>
      </c>
      <c r="AK30">
        <v>0</v>
      </c>
      <c r="AL30">
        <f t="shared" si="24"/>
        <v>3</v>
      </c>
      <c r="AM30">
        <v>0</v>
      </c>
      <c r="AN30">
        <f t="shared" si="25"/>
        <v>3</v>
      </c>
      <c r="AO30">
        <v>0</v>
      </c>
      <c r="AP30">
        <f t="shared" si="26"/>
        <v>3</v>
      </c>
      <c r="AQ30">
        <v>0</v>
      </c>
      <c r="AR30">
        <f t="shared" si="27"/>
        <v>3</v>
      </c>
      <c r="AS30">
        <v>2</v>
      </c>
      <c r="AT30">
        <v>0</v>
      </c>
      <c r="AV30">
        <f t="shared" si="29"/>
        <v>0</v>
      </c>
      <c r="AX30">
        <f t="shared" si="30"/>
        <v>0</v>
      </c>
      <c r="AY30" s="8"/>
      <c r="AZ30" s="8">
        <f t="shared" si="31"/>
        <v>0</v>
      </c>
      <c r="BB30" s="22">
        <f t="shared" si="34"/>
        <v>2</v>
      </c>
      <c r="BC30">
        <f t="shared" ref="BC30:BC65" si="39">$BB30*D30</f>
        <v>0</v>
      </c>
      <c r="BD30">
        <f t="shared" si="36"/>
        <v>0</v>
      </c>
      <c r="BE30">
        <f t="shared" si="36"/>
        <v>0</v>
      </c>
      <c r="BF30" s="22">
        <f t="shared" ref="BF30:BF65" si="40">$BB30*E30</f>
        <v>0</v>
      </c>
      <c r="BG30" s="22">
        <f>$BB30*H30</f>
        <v>2</v>
      </c>
    </row>
    <row r="31" spans="1:59">
      <c r="A31" s="8"/>
      <c r="B31" s="12"/>
      <c r="C31" s="2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1</v>
      </c>
      <c r="I31">
        <v>3</v>
      </c>
      <c r="J31">
        <f t="shared" ref="J31:J55" si="41">I31</f>
        <v>3</v>
      </c>
      <c r="K31">
        <v>0</v>
      </c>
      <c r="L31">
        <f t="shared" si="4"/>
        <v>3</v>
      </c>
      <c r="M31">
        <v>0</v>
      </c>
      <c r="N31">
        <f>L31-M31</f>
        <v>3</v>
      </c>
      <c r="O31">
        <v>0</v>
      </c>
      <c r="P31">
        <f t="shared" si="13"/>
        <v>3</v>
      </c>
      <c r="Q31">
        <v>0</v>
      </c>
      <c r="R31">
        <f t="shared" si="14"/>
        <v>3</v>
      </c>
      <c r="S31">
        <v>0</v>
      </c>
      <c r="T31">
        <f t="shared" si="15"/>
        <v>3</v>
      </c>
      <c r="U31">
        <v>0</v>
      </c>
      <c r="V31">
        <f t="shared" si="16"/>
        <v>3</v>
      </c>
      <c r="W31">
        <v>0</v>
      </c>
      <c r="X31">
        <f t="shared" si="17"/>
        <v>3</v>
      </c>
      <c r="Y31">
        <v>0</v>
      </c>
      <c r="Z31">
        <f t="shared" si="18"/>
        <v>3</v>
      </c>
      <c r="AA31">
        <v>0</v>
      </c>
      <c r="AB31">
        <f t="shared" si="19"/>
        <v>3</v>
      </c>
      <c r="AC31">
        <v>0</v>
      </c>
      <c r="AD31">
        <f t="shared" si="20"/>
        <v>3</v>
      </c>
      <c r="AE31">
        <v>0</v>
      </c>
      <c r="AF31">
        <f t="shared" si="21"/>
        <v>3</v>
      </c>
      <c r="AG31">
        <v>0</v>
      </c>
      <c r="AH31">
        <f t="shared" si="22"/>
        <v>3</v>
      </c>
      <c r="AI31">
        <v>0</v>
      </c>
      <c r="AJ31">
        <f t="shared" si="23"/>
        <v>3</v>
      </c>
      <c r="AK31">
        <v>0</v>
      </c>
      <c r="AL31">
        <f t="shared" si="24"/>
        <v>3</v>
      </c>
      <c r="AM31">
        <v>0</v>
      </c>
      <c r="AN31">
        <f t="shared" si="25"/>
        <v>3</v>
      </c>
      <c r="AO31">
        <v>0</v>
      </c>
      <c r="AP31">
        <f t="shared" si="26"/>
        <v>3</v>
      </c>
      <c r="AQ31">
        <v>0</v>
      </c>
      <c r="AR31">
        <f t="shared" si="27"/>
        <v>3</v>
      </c>
      <c r="AS31">
        <v>0</v>
      </c>
      <c r="AT31">
        <f t="shared" si="28"/>
        <v>3</v>
      </c>
      <c r="AU31">
        <v>2</v>
      </c>
      <c r="AV31">
        <v>0</v>
      </c>
      <c r="AX31">
        <f t="shared" si="30"/>
        <v>0</v>
      </c>
      <c r="AY31" s="8"/>
      <c r="AZ31" s="8">
        <f t="shared" si="31"/>
        <v>0</v>
      </c>
      <c r="BB31" s="22">
        <f t="shared" si="34"/>
        <v>2</v>
      </c>
      <c r="BC31">
        <f t="shared" si="39"/>
        <v>0</v>
      </c>
      <c r="BD31">
        <f t="shared" si="36"/>
        <v>0</v>
      </c>
      <c r="BE31">
        <f t="shared" si="36"/>
        <v>0</v>
      </c>
      <c r="BF31" s="22">
        <f t="shared" si="40"/>
        <v>0</v>
      </c>
      <c r="BG31" s="22">
        <f t="shared" ref="BG31:BG65" si="42">$BB31*H31</f>
        <v>2</v>
      </c>
    </row>
    <row r="32" spans="1:59">
      <c r="A32" s="8"/>
      <c r="B32" s="9">
        <v>6</v>
      </c>
      <c r="C32" s="35" t="s">
        <v>32</v>
      </c>
      <c r="D32" s="36"/>
      <c r="E32" s="36"/>
      <c r="F32" s="36"/>
      <c r="G32" s="37">
        <v>1</v>
      </c>
      <c r="H32" s="36"/>
      <c r="I32" s="38"/>
      <c r="J32" s="38"/>
      <c r="K32" s="38"/>
      <c r="L32" s="38"/>
      <c r="M32" s="38"/>
      <c r="N32" s="38"/>
      <c r="O32" s="38"/>
      <c r="P32" s="36"/>
      <c r="Q32" s="36"/>
      <c r="R32" s="38"/>
      <c r="S32" s="38"/>
      <c r="T32" s="38"/>
      <c r="U32" s="38"/>
      <c r="V32" s="38"/>
      <c r="W32" s="38"/>
      <c r="X32" s="38"/>
      <c r="Y32" s="36"/>
      <c r="Z32" s="36"/>
      <c r="AA32" s="38"/>
      <c r="AB32" s="38"/>
      <c r="AC32" s="38"/>
      <c r="AD32" s="38"/>
      <c r="AE32" s="38"/>
      <c r="AF32" s="38"/>
      <c r="AG32" s="38"/>
      <c r="AH32" s="36"/>
      <c r="AI32" s="36"/>
      <c r="AJ32" s="38"/>
      <c r="AK32" s="38"/>
      <c r="AL32" s="38"/>
      <c r="AM32" s="38"/>
      <c r="AN32" s="38"/>
      <c r="AO32" s="38"/>
      <c r="AP32" s="38"/>
      <c r="AQ32" s="36"/>
      <c r="AR32" s="36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</row>
    <row r="33" spans="1:59">
      <c r="A33" s="8"/>
      <c r="B33" s="12"/>
      <c r="C33" s="28" t="s">
        <v>33</v>
      </c>
      <c r="D33" s="15">
        <v>0</v>
      </c>
      <c r="E33" s="15">
        <v>0</v>
      </c>
      <c r="F33" s="15">
        <v>0</v>
      </c>
      <c r="G33" s="15">
        <v>1</v>
      </c>
      <c r="H33" s="15">
        <v>0</v>
      </c>
      <c r="I33" s="31">
        <v>5</v>
      </c>
      <c r="J33">
        <f>I33</f>
        <v>5</v>
      </c>
      <c r="K33">
        <v>0</v>
      </c>
      <c r="L33">
        <f t="shared" si="4"/>
        <v>5</v>
      </c>
      <c r="M33">
        <v>0</v>
      </c>
      <c r="N33">
        <f>L33-M33</f>
        <v>5</v>
      </c>
      <c r="O33">
        <v>0</v>
      </c>
      <c r="P33">
        <f t="shared" si="13"/>
        <v>5</v>
      </c>
      <c r="Q33">
        <v>0</v>
      </c>
      <c r="R33">
        <f t="shared" si="14"/>
        <v>5</v>
      </c>
      <c r="S33">
        <v>4</v>
      </c>
      <c r="T33">
        <v>0</v>
      </c>
      <c r="U33">
        <v>0</v>
      </c>
      <c r="V33">
        <f t="shared" si="16"/>
        <v>0</v>
      </c>
      <c r="W33">
        <v>0</v>
      </c>
      <c r="X33">
        <f t="shared" si="17"/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f t="shared" si="20"/>
        <v>0</v>
      </c>
      <c r="AE33">
        <v>0</v>
      </c>
      <c r="AF33">
        <f t="shared" si="21"/>
        <v>0</v>
      </c>
      <c r="AG33">
        <v>0</v>
      </c>
      <c r="AH33">
        <f t="shared" si="22"/>
        <v>0</v>
      </c>
      <c r="AI33">
        <v>0</v>
      </c>
      <c r="AJ33">
        <f t="shared" si="23"/>
        <v>0</v>
      </c>
      <c r="AK33">
        <v>0</v>
      </c>
      <c r="AL33">
        <f t="shared" si="24"/>
        <v>0</v>
      </c>
      <c r="AM33">
        <v>0</v>
      </c>
      <c r="AN33">
        <f t="shared" si="25"/>
        <v>0</v>
      </c>
      <c r="AO33">
        <v>0</v>
      </c>
      <c r="AP33">
        <f t="shared" si="26"/>
        <v>0</v>
      </c>
      <c r="AQ33">
        <v>0</v>
      </c>
      <c r="AR33">
        <f t="shared" si="27"/>
        <v>0</v>
      </c>
      <c r="AS33">
        <v>0</v>
      </c>
      <c r="AT33">
        <f t="shared" si="28"/>
        <v>0</v>
      </c>
      <c r="AU33">
        <v>0</v>
      </c>
      <c r="AV33">
        <f>AT33-AU33</f>
        <v>0</v>
      </c>
      <c r="AW33">
        <v>0</v>
      </c>
      <c r="AX33">
        <f t="shared" si="30"/>
        <v>0</v>
      </c>
      <c r="AY33" s="8">
        <v>0</v>
      </c>
      <c r="AZ33" s="8">
        <f t="shared" si="31"/>
        <v>0</v>
      </c>
      <c r="BB33" s="22">
        <f>AY33+AW33+AU33+AS33+AQ33+AO33+AM33+AK33+AI33+AG33+AE33+AC33+AA33+Y33+W33+U33+S33+Q33+O33+M33+K33</f>
        <v>5</v>
      </c>
      <c r="BC33">
        <f t="shared" si="39"/>
        <v>0</v>
      </c>
      <c r="BD33">
        <f>BC33*F33</f>
        <v>0</v>
      </c>
      <c r="BE33">
        <f>$BB33*G33</f>
        <v>5</v>
      </c>
      <c r="BF33" s="22">
        <f t="shared" si="40"/>
        <v>0</v>
      </c>
      <c r="BG33" s="22">
        <f t="shared" si="42"/>
        <v>0</v>
      </c>
    </row>
    <row r="34" spans="1:59">
      <c r="A34" s="8"/>
      <c r="B34" s="12"/>
      <c r="C34" s="28" t="s">
        <v>34</v>
      </c>
      <c r="D34" s="15">
        <v>0</v>
      </c>
      <c r="E34" s="15">
        <v>0</v>
      </c>
      <c r="F34" s="15">
        <v>0</v>
      </c>
      <c r="G34" s="15">
        <v>1</v>
      </c>
      <c r="H34" s="15">
        <v>0</v>
      </c>
      <c r="I34" s="31">
        <v>3</v>
      </c>
      <c r="J34">
        <v>3</v>
      </c>
      <c r="K34">
        <v>0</v>
      </c>
      <c r="L34">
        <v>3</v>
      </c>
      <c r="M34">
        <v>0</v>
      </c>
      <c r="N34">
        <v>3</v>
      </c>
      <c r="O34">
        <v>0</v>
      </c>
      <c r="P34">
        <v>3</v>
      </c>
      <c r="Q34">
        <v>0</v>
      </c>
      <c r="R34">
        <v>3</v>
      </c>
      <c r="S34">
        <v>2</v>
      </c>
      <c r="T34">
        <v>1</v>
      </c>
      <c r="U34">
        <v>4</v>
      </c>
      <c r="V34">
        <v>0</v>
      </c>
      <c r="W34">
        <v>0</v>
      </c>
      <c r="X34">
        <v>0</v>
      </c>
      <c r="Y34">
        <v>0</v>
      </c>
      <c r="Z34">
        <f>X34-Y34</f>
        <v>0</v>
      </c>
      <c r="AA34">
        <v>0</v>
      </c>
      <c r="AB34">
        <f>Z34-AA34</f>
        <v>0</v>
      </c>
      <c r="AC34">
        <v>0</v>
      </c>
      <c r="AD34">
        <f t="shared" si="20"/>
        <v>0</v>
      </c>
      <c r="AE34">
        <v>0</v>
      </c>
      <c r="AF34">
        <f>AD34-AE34</f>
        <v>0</v>
      </c>
      <c r="AG34">
        <v>0</v>
      </c>
      <c r="AH34">
        <f>AF34-AG34</f>
        <v>0</v>
      </c>
      <c r="AI34">
        <v>0</v>
      </c>
      <c r="AJ34">
        <f>AH34-AI34</f>
        <v>0</v>
      </c>
      <c r="AK34">
        <v>0</v>
      </c>
      <c r="AL34">
        <f>AJ34-AK34</f>
        <v>0</v>
      </c>
      <c r="AM34">
        <v>0</v>
      </c>
      <c r="AN34">
        <f>AL34-AM34</f>
        <v>0</v>
      </c>
      <c r="AO34">
        <v>0</v>
      </c>
      <c r="AP34">
        <f>AN34-AO34</f>
        <v>0</v>
      </c>
      <c r="AQ34">
        <v>0</v>
      </c>
      <c r="AR34">
        <f>AP34-AQ34</f>
        <v>0</v>
      </c>
      <c r="AS34">
        <v>0</v>
      </c>
      <c r="AT34">
        <f>AR34-AS34</f>
        <v>0</v>
      </c>
      <c r="AU34">
        <v>0</v>
      </c>
      <c r="AV34">
        <f>AT34-AU34</f>
        <v>0</v>
      </c>
      <c r="AW34">
        <v>0</v>
      </c>
      <c r="AX34">
        <f>AV34-AW34</f>
        <v>0</v>
      </c>
      <c r="AY34" s="8">
        <v>0</v>
      </c>
      <c r="AZ34" s="8">
        <f>AX34-AY34</f>
        <v>0</v>
      </c>
      <c r="BB34" s="22">
        <f>AY34+AW34+AU34+AS34+AQ34+AO34+AM34+AK34+AI34+AG34+AE34+AC34+AA34+Y34+W34+U34+S34+Q34+O34+M34+K34</f>
        <v>6</v>
      </c>
      <c r="BC34">
        <v>0</v>
      </c>
      <c r="BD34">
        <f>BC34*F34</f>
        <v>0</v>
      </c>
      <c r="BE34">
        <f>$BB34*G34</f>
        <v>6</v>
      </c>
      <c r="BF34" s="22">
        <v>0</v>
      </c>
      <c r="BG34" s="22">
        <v>0</v>
      </c>
    </row>
    <row r="35" spans="1:59">
      <c r="A35" s="8"/>
      <c r="B35" s="12"/>
      <c r="C35" s="28" t="s">
        <v>35</v>
      </c>
      <c r="D35" s="15">
        <v>0</v>
      </c>
      <c r="E35" s="15">
        <v>0</v>
      </c>
      <c r="F35" s="15">
        <v>0</v>
      </c>
      <c r="G35" s="15">
        <v>1</v>
      </c>
      <c r="H35" s="15">
        <v>0</v>
      </c>
      <c r="I35" s="31">
        <v>5</v>
      </c>
      <c r="J35">
        <f t="shared" si="41"/>
        <v>5</v>
      </c>
      <c r="K35">
        <v>0</v>
      </c>
      <c r="L35">
        <f t="shared" si="4"/>
        <v>5</v>
      </c>
      <c r="M35">
        <v>0</v>
      </c>
      <c r="N35">
        <f>L35-M35</f>
        <v>5</v>
      </c>
      <c r="O35">
        <v>0</v>
      </c>
      <c r="P35">
        <f t="shared" si="13"/>
        <v>5</v>
      </c>
      <c r="Q35">
        <v>0</v>
      </c>
      <c r="R35">
        <f t="shared" si="14"/>
        <v>5</v>
      </c>
      <c r="S35">
        <v>2</v>
      </c>
      <c r="T35">
        <f t="shared" si="15"/>
        <v>3</v>
      </c>
      <c r="U35">
        <v>0</v>
      </c>
      <c r="V35">
        <f t="shared" si="16"/>
        <v>3</v>
      </c>
      <c r="W35">
        <v>2</v>
      </c>
      <c r="X35">
        <v>3</v>
      </c>
      <c r="Y35">
        <v>2</v>
      </c>
      <c r="Z35">
        <f t="shared" si="18"/>
        <v>1</v>
      </c>
      <c r="AA35">
        <v>1</v>
      </c>
      <c r="AB35">
        <f>Z35-AA35</f>
        <v>0</v>
      </c>
      <c r="AC35">
        <v>0</v>
      </c>
      <c r="AD35">
        <v>0</v>
      </c>
      <c r="AE35">
        <v>0</v>
      </c>
      <c r="AF35">
        <f t="shared" si="21"/>
        <v>0</v>
      </c>
      <c r="AG35">
        <v>0</v>
      </c>
      <c r="AH35">
        <v>0</v>
      </c>
      <c r="AI35">
        <v>0</v>
      </c>
      <c r="AJ35">
        <f>AH35-AI35</f>
        <v>0</v>
      </c>
      <c r="AK35">
        <v>0</v>
      </c>
      <c r="AL35">
        <f>AJ35-AK35</f>
        <v>0</v>
      </c>
      <c r="AM35">
        <v>0</v>
      </c>
      <c r="AN35">
        <v>0</v>
      </c>
      <c r="AO35">
        <v>0</v>
      </c>
      <c r="AP35">
        <f t="shared" si="26"/>
        <v>0</v>
      </c>
      <c r="AQ35">
        <v>0</v>
      </c>
      <c r="AR35">
        <v>0</v>
      </c>
      <c r="AS35">
        <v>0</v>
      </c>
      <c r="AT35">
        <f>AR35-AS35</f>
        <v>0</v>
      </c>
      <c r="AU35">
        <v>0</v>
      </c>
      <c r="AV35">
        <f t="shared" si="29"/>
        <v>0</v>
      </c>
      <c r="AW35">
        <v>0</v>
      </c>
      <c r="AX35">
        <f>AV35-AW35</f>
        <v>0</v>
      </c>
      <c r="AY35" s="8">
        <v>0</v>
      </c>
      <c r="AZ35" s="8">
        <f t="shared" si="31"/>
        <v>0</v>
      </c>
      <c r="BB35" s="22">
        <f>AY35+AW35+AU35+AS35+AQ35+AO35+AM35+AK35+AI35+AG35+AE35+AC35+AA35+Y35+W35+U35+S35+Q35+O35+M35+K35</f>
        <v>7</v>
      </c>
      <c r="BC35">
        <f t="shared" si="39"/>
        <v>0</v>
      </c>
      <c r="BD35">
        <f>BC35*F35</f>
        <v>0</v>
      </c>
      <c r="BE35">
        <f>$BB35*G35</f>
        <v>7</v>
      </c>
      <c r="BF35" s="22">
        <f t="shared" si="40"/>
        <v>0</v>
      </c>
      <c r="BG35" s="22">
        <f t="shared" si="42"/>
        <v>0</v>
      </c>
    </row>
    <row r="36" spans="1:59">
      <c r="A36" s="8"/>
      <c r="B36" s="12"/>
      <c r="C36" s="28" t="s">
        <v>36</v>
      </c>
      <c r="D36" s="15">
        <v>0</v>
      </c>
      <c r="E36" s="15">
        <v>0</v>
      </c>
      <c r="F36" s="15">
        <v>0</v>
      </c>
      <c r="G36" s="15">
        <v>1</v>
      </c>
      <c r="H36" s="15">
        <v>0</v>
      </c>
      <c r="I36" s="31">
        <v>8</v>
      </c>
      <c r="J36">
        <f t="shared" si="41"/>
        <v>8</v>
      </c>
      <c r="K36">
        <v>0</v>
      </c>
      <c r="L36">
        <f t="shared" si="4"/>
        <v>8</v>
      </c>
      <c r="M36">
        <v>0</v>
      </c>
      <c r="N36">
        <f>L36-M36</f>
        <v>8</v>
      </c>
      <c r="O36">
        <v>0</v>
      </c>
      <c r="P36">
        <f>N36-O36</f>
        <v>8</v>
      </c>
      <c r="Q36">
        <v>0</v>
      </c>
      <c r="R36">
        <f t="shared" si="14"/>
        <v>8</v>
      </c>
      <c r="S36">
        <v>2</v>
      </c>
      <c r="T36">
        <f t="shared" si="15"/>
        <v>6</v>
      </c>
      <c r="U36">
        <v>0</v>
      </c>
      <c r="V36">
        <f t="shared" si="16"/>
        <v>6</v>
      </c>
      <c r="W36">
        <v>3</v>
      </c>
      <c r="X36">
        <f t="shared" si="17"/>
        <v>3</v>
      </c>
      <c r="Y36">
        <v>2</v>
      </c>
      <c r="Z36">
        <v>3</v>
      </c>
      <c r="AA36">
        <v>1</v>
      </c>
      <c r="AB36">
        <f t="shared" si="19"/>
        <v>2</v>
      </c>
      <c r="AC36">
        <v>1</v>
      </c>
      <c r="AD36">
        <f t="shared" si="20"/>
        <v>1</v>
      </c>
      <c r="AE36">
        <v>1</v>
      </c>
      <c r="AF36">
        <f t="shared" si="21"/>
        <v>0</v>
      </c>
      <c r="AG36">
        <v>0</v>
      </c>
      <c r="AH36">
        <f t="shared" si="22"/>
        <v>0</v>
      </c>
      <c r="AI36">
        <v>0</v>
      </c>
      <c r="AJ36">
        <f>AH36-AI36</f>
        <v>0</v>
      </c>
      <c r="AK36">
        <v>0</v>
      </c>
      <c r="AL36">
        <f>AJ36-AK36</f>
        <v>0</v>
      </c>
      <c r="AM36">
        <v>0</v>
      </c>
      <c r="AN36">
        <f t="shared" si="25"/>
        <v>0</v>
      </c>
      <c r="AO36">
        <v>0</v>
      </c>
      <c r="AP36">
        <f t="shared" si="26"/>
        <v>0</v>
      </c>
      <c r="AQ36">
        <v>0</v>
      </c>
      <c r="AR36">
        <f t="shared" si="27"/>
        <v>0</v>
      </c>
      <c r="AS36">
        <v>0</v>
      </c>
      <c r="AT36">
        <f t="shared" si="28"/>
        <v>0</v>
      </c>
      <c r="AU36">
        <v>0</v>
      </c>
      <c r="AV36">
        <f t="shared" si="29"/>
        <v>0</v>
      </c>
      <c r="AW36">
        <v>0</v>
      </c>
      <c r="AX36">
        <f>AV36-AW36</f>
        <v>0</v>
      </c>
      <c r="AY36" s="8">
        <v>0</v>
      </c>
      <c r="AZ36" s="8">
        <f t="shared" si="31"/>
        <v>0</v>
      </c>
      <c r="BB36" s="22">
        <f>AY36+AW36+AU36+AS36+AQ36+AO36+AM36+AK36+AI36+AG36+AE36+AC36+AA36+Y36+W36+U36+S36+Q36+O36+M36+K36</f>
        <v>10</v>
      </c>
      <c r="BC36">
        <f t="shared" si="39"/>
        <v>0</v>
      </c>
      <c r="BD36">
        <f>BC36*F36</f>
        <v>0</v>
      </c>
      <c r="BE36">
        <f>$BB36*G36</f>
        <v>10</v>
      </c>
      <c r="BF36" s="22">
        <f t="shared" si="40"/>
        <v>0</v>
      </c>
      <c r="BG36" s="22">
        <f t="shared" si="42"/>
        <v>0</v>
      </c>
    </row>
    <row r="37" spans="1:59">
      <c r="A37" s="8"/>
      <c r="B37" s="9">
        <v>7</v>
      </c>
      <c r="C37" s="10" t="s">
        <v>37</v>
      </c>
      <c r="D37" s="14"/>
      <c r="E37" s="14"/>
      <c r="F37" s="14"/>
      <c r="G37" s="33">
        <v>1</v>
      </c>
      <c r="H37" s="14"/>
      <c r="I37" s="11"/>
      <c r="J37" s="11"/>
      <c r="K37" s="11"/>
      <c r="L37" s="11"/>
      <c r="M37" s="11"/>
      <c r="N37" s="11"/>
      <c r="O37" s="11"/>
      <c r="P37" s="14"/>
      <c r="Q37" s="14"/>
      <c r="R37" s="11"/>
      <c r="S37" s="11"/>
      <c r="T37" s="11"/>
      <c r="U37" s="11"/>
      <c r="V37" s="11"/>
      <c r="W37" s="11"/>
      <c r="X37" s="11"/>
      <c r="Y37" s="14"/>
      <c r="Z37" s="14"/>
      <c r="AA37" s="11"/>
      <c r="AB37" s="11"/>
      <c r="AC37" s="11"/>
      <c r="AD37" s="11"/>
      <c r="AE37" s="11"/>
      <c r="AF37" s="11"/>
      <c r="AG37" s="11"/>
      <c r="AH37" s="14"/>
      <c r="AI37" s="14"/>
      <c r="AJ37" s="11"/>
      <c r="AK37" s="11"/>
      <c r="AL37" s="11"/>
      <c r="AM37" s="11"/>
      <c r="AN37" s="11"/>
      <c r="AO37" s="11"/>
      <c r="AP37" s="11"/>
      <c r="AQ37" s="14"/>
      <c r="AR37" s="14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</row>
    <row r="38" spans="1:59">
      <c r="A38" s="8"/>
      <c r="B38" s="12"/>
      <c r="C38" s="28" t="s">
        <v>38</v>
      </c>
      <c r="D38" s="15">
        <v>0</v>
      </c>
      <c r="E38" s="15">
        <v>0</v>
      </c>
      <c r="F38" s="15">
        <v>0</v>
      </c>
      <c r="G38" s="15">
        <v>1</v>
      </c>
      <c r="H38" s="15">
        <v>0</v>
      </c>
      <c r="I38" s="30">
        <v>6</v>
      </c>
      <c r="J38">
        <f t="shared" si="41"/>
        <v>6</v>
      </c>
      <c r="K38">
        <v>0</v>
      </c>
      <c r="L38">
        <f t="shared" si="4"/>
        <v>6</v>
      </c>
      <c r="M38">
        <v>0</v>
      </c>
      <c r="N38">
        <f>L38-M38</f>
        <v>6</v>
      </c>
      <c r="O38">
        <v>0</v>
      </c>
      <c r="P38">
        <f t="shared" si="13"/>
        <v>6</v>
      </c>
      <c r="Q38">
        <v>0</v>
      </c>
      <c r="R38">
        <f t="shared" si="14"/>
        <v>6</v>
      </c>
      <c r="S38">
        <v>0</v>
      </c>
      <c r="T38">
        <f t="shared" si="15"/>
        <v>6</v>
      </c>
      <c r="U38">
        <v>0</v>
      </c>
      <c r="V38">
        <f t="shared" si="16"/>
        <v>6</v>
      </c>
      <c r="W38">
        <v>0</v>
      </c>
      <c r="X38">
        <f t="shared" si="17"/>
        <v>6</v>
      </c>
      <c r="Y38">
        <v>0</v>
      </c>
      <c r="Z38">
        <f t="shared" si="18"/>
        <v>6</v>
      </c>
      <c r="AA38">
        <v>0</v>
      </c>
      <c r="AB38">
        <f t="shared" si="19"/>
        <v>6</v>
      </c>
      <c r="AC38">
        <v>0</v>
      </c>
      <c r="AD38">
        <f t="shared" si="20"/>
        <v>6</v>
      </c>
      <c r="AE38">
        <v>0</v>
      </c>
      <c r="AF38">
        <f t="shared" si="21"/>
        <v>6</v>
      </c>
      <c r="AG38">
        <v>2</v>
      </c>
      <c r="AH38">
        <f t="shared" si="22"/>
        <v>4</v>
      </c>
      <c r="AI38">
        <v>0</v>
      </c>
      <c r="AJ38">
        <f t="shared" si="23"/>
        <v>4</v>
      </c>
      <c r="AK38">
        <v>1</v>
      </c>
      <c r="AL38">
        <f t="shared" si="24"/>
        <v>3</v>
      </c>
      <c r="AM38">
        <v>2</v>
      </c>
      <c r="AN38">
        <v>2</v>
      </c>
      <c r="AO38">
        <v>1</v>
      </c>
      <c r="AP38">
        <f t="shared" si="26"/>
        <v>1</v>
      </c>
      <c r="AQ38">
        <v>1</v>
      </c>
      <c r="AR38">
        <f t="shared" si="27"/>
        <v>0</v>
      </c>
      <c r="AS38">
        <v>0</v>
      </c>
      <c r="AT38">
        <f t="shared" si="28"/>
        <v>0</v>
      </c>
      <c r="AU38">
        <v>0</v>
      </c>
      <c r="AV38">
        <f t="shared" si="29"/>
        <v>0</v>
      </c>
      <c r="AW38">
        <v>0</v>
      </c>
      <c r="AX38">
        <f t="shared" si="30"/>
        <v>0</v>
      </c>
      <c r="AY38">
        <v>0</v>
      </c>
      <c r="AZ38" s="8">
        <f t="shared" si="31"/>
        <v>0</v>
      </c>
      <c r="BB38" s="22">
        <f t="shared" si="34"/>
        <v>7</v>
      </c>
      <c r="BC38">
        <f t="shared" si="39"/>
        <v>0</v>
      </c>
      <c r="BD38">
        <f>BC38*F38</f>
        <v>0</v>
      </c>
      <c r="BE38">
        <f>$BB38*G38</f>
        <v>7</v>
      </c>
      <c r="BF38" s="22">
        <f t="shared" si="40"/>
        <v>0</v>
      </c>
      <c r="BG38" s="22">
        <f t="shared" si="42"/>
        <v>0</v>
      </c>
    </row>
    <row r="39" spans="1:59">
      <c r="A39" s="8"/>
      <c r="B39" s="12"/>
      <c r="C39" s="28" t="s">
        <v>39</v>
      </c>
      <c r="D39" s="15">
        <v>0</v>
      </c>
      <c r="E39" s="15">
        <v>0</v>
      </c>
      <c r="F39" s="15">
        <v>0</v>
      </c>
      <c r="G39" s="15">
        <v>1</v>
      </c>
      <c r="H39" s="15">
        <v>0</v>
      </c>
      <c r="I39" s="32">
        <v>6</v>
      </c>
      <c r="J39">
        <f t="shared" si="41"/>
        <v>6</v>
      </c>
      <c r="K39">
        <v>0</v>
      </c>
      <c r="L39">
        <f t="shared" si="4"/>
        <v>6</v>
      </c>
      <c r="M39">
        <v>0</v>
      </c>
      <c r="N39">
        <f>L39-M39</f>
        <v>6</v>
      </c>
      <c r="O39">
        <v>0</v>
      </c>
      <c r="P39">
        <f t="shared" si="13"/>
        <v>6</v>
      </c>
      <c r="Q39">
        <v>0</v>
      </c>
      <c r="R39">
        <f t="shared" si="14"/>
        <v>6</v>
      </c>
      <c r="S39">
        <v>0</v>
      </c>
      <c r="T39">
        <f t="shared" si="15"/>
        <v>6</v>
      </c>
      <c r="U39">
        <v>0</v>
      </c>
      <c r="V39">
        <f t="shared" si="16"/>
        <v>6</v>
      </c>
      <c r="W39">
        <v>0</v>
      </c>
      <c r="X39">
        <f t="shared" si="17"/>
        <v>6</v>
      </c>
      <c r="Y39">
        <v>0</v>
      </c>
      <c r="Z39">
        <f t="shared" si="18"/>
        <v>6</v>
      </c>
      <c r="AA39">
        <v>0</v>
      </c>
      <c r="AB39">
        <f t="shared" si="19"/>
        <v>6</v>
      </c>
      <c r="AC39">
        <v>0</v>
      </c>
      <c r="AD39">
        <f t="shared" si="20"/>
        <v>6</v>
      </c>
      <c r="AE39">
        <v>0</v>
      </c>
      <c r="AF39">
        <f t="shared" si="21"/>
        <v>6</v>
      </c>
      <c r="AG39">
        <v>1</v>
      </c>
      <c r="AH39">
        <f t="shared" si="22"/>
        <v>5</v>
      </c>
      <c r="AI39">
        <v>0</v>
      </c>
      <c r="AJ39">
        <f t="shared" si="23"/>
        <v>5</v>
      </c>
      <c r="AK39">
        <v>1</v>
      </c>
      <c r="AL39">
        <f t="shared" si="24"/>
        <v>4</v>
      </c>
      <c r="AM39">
        <v>1</v>
      </c>
      <c r="AN39">
        <f t="shared" si="25"/>
        <v>3</v>
      </c>
      <c r="AO39">
        <v>1</v>
      </c>
      <c r="AP39">
        <f t="shared" si="26"/>
        <v>2</v>
      </c>
      <c r="AQ39">
        <v>1</v>
      </c>
      <c r="AR39">
        <f t="shared" si="27"/>
        <v>1</v>
      </c>
      <c r="AS39">
        <v>1</v>
      </c>
      <c r="AT39">
        <f t="shared" si="28"/>
        <v>0</v>
      </c>
      <c r="AU39">
        <v>0</v>
      </c>
      <c r="AV39">
        <f t="shared" si="29"/>
        <v>0</v>
      </c>
      <c r="AW39">
        <v>0</v>
      </c>
      <c r="AX39">
        <f t="shared" si="30"/>
        <v>0</v>
      </c>
      <c r="AY39">
        <v>0</v>
      </c>
      <c r="AZ39" s="8">
        <f t="shared" si="31"/>
        <v>0</v>
      </c>
      <c r="BB39" s="22">
        <f t="shared" si="34"/>
        <v>6</v>
      </c>
      <c r="BC39">
        <f t="shared" si="39"/>
        <v>0</v>
      </c>
      <c r="BD39">
        <f>BC39*F39</f>
        <v>0</v>
      </c>
      <c r="BE39">
        <f>$BB39*G39</f>
        <v>6</v>
      </c>
      <c r="BF39" s="22">
        <f t="shared" si="40"/>
        <v>0</v>
      </c>
      <c r="BG39" s="22">
        <f t="shared" si="42"/>
        <v>0</v>
      </c>
    </row>
    <row r="40" spans="1:59">
      <c r="A40" s="8"/>
      <c r="B40" s="9">
        <v>8</v>
      </c>
      <c r="C40" s="10" t="s">
        <v>40</v>
      </c>
      <c r="D40" s="27">
        <v>0.25</v>
      </c>
      <c r="E40" s="27">
        <v>0.75</v>
      </c>
      <c r="F40" s="14"/>
      <c r="G40" s="14"/>
      <c r="H40" s="14"/>
      <c r="I40" s="11"/>
      <c r="J40" s="11"/>
      <c r="K40" s="11"/>
      <c r="L40" s="11"/>
      <c r="M40" s="11"/>
      <c r="N40" s="11"/>
      <c r="O40" s="11"/>
      <c r="P40" s="14"/>
      <c r="Q40" s="14"/>
      <c r="R40" s="11"/>
      <c r="S40" s="11"/>
      <c r="T40" s="11"/>
      <c r="U40" s="11"/>
      <c r="V40" s="11"/>
      <c r="W40" s="11"/>
      <c r="X40" s="11"/>
      <c r="Y40" s="14"/>
      <c r="Z40" s="14"/>
      <c r="AA40" s="11"/>
      <c r="AB40" s="11"/>
      <c r="AC40" s="11"/>
      <c r="AD40" s="11"/>
      <c r="AE40" s="11"/>
      <c r="AF40" s="11"/>
      <c r="AG40" s="11"/>
      <c r="AH40" s="14"/>
      <c r="AI40" s="14"/>
      <c r="AJ40" s="11"/>
      <c r="AK40" s="11"/>
      <c r="AL40" s="11"/>
      <c r="AM40" s="11"/>
      <c r="AN40" s="11"/>
      <c r="AO40" s="11"/>
      <c r="AP40" s="11"/>
      <c r="AQ40" s="14"/>
      <c r="AR40" s="14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</row>
    <row r="41" spans="1:59" ht="17.25" customHeight="1">
      <c r="A41" s="8"/>
      <c r="B41" s="12"/>
      <c r="C41" s="28" t="s">
        <v>41</v>
      </c>
      <c r="D41" s="15">
        <v>0</v>
      </c>
      <c r="E41" s="15">
        <v>1</v>
      </c>
      <c r="F41" s="15">
        <v>0</v>
      </c>
      <c r="G41" s="15">
        <v>0</v>
      </c>
      <c r="H41" s="15">
        <v>0</v>
      </c>
      <c r="I41">
        <v>5</v>
      </c>
      <c r="J41">
        <f t="shared" si="41"/>
        <v>5</v>
      </c>
      <c r="K41">
        <v>1</v>
      </c>
      <c r="L41">
        <f t="shared" si="4"/>
        <v>4</v>
      </c>
      <c r="M41">
        <v>0</v>
      </c>
      <c r="N41">
        <f>L41-M41</f>
        <v>4</v>
      </c>
      <c r="O41">
        <v>0</v>
      </c>
      <c r="P41">
        <f t="shared" si="13"/>
        <v>4</v>
      </c>
      <c r="Q41">
        <v>3</v>
      </c>
      <c r="R41">
        <v>5</v>
      </c>
      <c r="S41">
        <v>0</v>
      </c>
      <c r="T41">
        <f t="shared" si="15"/>
        <v>5</v>
      </c>
      <c r="U41">
        <v>0</v>
      </c>
      <c r="V41">
        <f t="shared" si="16"/>
        <v>5</v>
      </c>
      <c r="W41">
        <v>3</v>
      </c>
      <c r="X41">
        <f t="shared" si="17"/>
        <v>2</v>
      </c>
      <c r="Y41">
        <v>0</v>
      </c>
      <c r="Z41">
        <f t="shared" si="18"/>
        <v>2</v>
      </c>
      <c r="AA41">
        <v>0</v>
      </c>
      <c r="AB41">
        <f t="shared" si="19"/>
        <v>2</v>
      </c>
      <c r="AC41">
        <v>0</v>
      </c>
      <c r="AD41">
        <f t="shared" si="20"/>
        <v>2</v>
      </c>
      <c r="AE41">
        <v>2</v>
      </c>
      <c r="AF41">
        <v>3</v>
      </c>
      <c r="AG41">
        <v>1</v>
      </c>
      <c r="AH41">
        <f t="shared" si="22"/>
        <v>2</v>
      </c>
      <c r="AI41">
        <v>0</v>
      </c>
      <c r="AJ41">
        <f t="shared" si="23"/>
        <v>2</v>
      </c>
      <c r="AK41">
        <v>0</v>
      </c>
      <c r="AL41">
        <f t="shared" si="24"/>
        <v>2</v>
      </c>
      <c r="AM41">
        <v>0</v>
      </c>
      <c r="AN41">
        <f t="shared" si="25"/>
        <v>2</v>
      </c>
      <c r="AO41">
        <v>0</v>
      </c>
      <c r="AP41">
        <f t="shared" si="26"/>
        <v>2</v>
      </c>
      <c r="AQ41">
        <v>0</v>
      </c>
      <c r="AR41">
        <f t="shared" si="27"/>
        <v>2</v>
      </c>
      <c r="AS41">
        <v>2</v>
      </c>
      <c r="AT41">
        <v>0</v>
      </c>
      <c r="AU41">
        <v>0</v>
      </c>
      <c r="AV41">
        <f t="shared" si="29"/>
        <v>0</v>
      </c>
      <c r="AW41">
        <v>0</v>
      </c>
      <c r="AX41">
        <f t="shared" si="30"/>
        <v>0</v>
      </c>
      <c r="AY41">
        <v>0</v>
      </c>
      <c r="AZ41" s="8">
        <f t="shared" si="31"/>
        <v>0</v>
      </c>
      <c r="BB41" s="22">
        <f t="shared" si="34"/>
        <v>12</v>
      </c>
      <c r="BC41">
        <f t="shared" si="39"/>
        <v>0</v>
      </c>
      <c r="BD41">
        <f>BC41*F41</f>
        <v>0</v>
      </c>
      <c r="BE41">
        <f>BB41*G41</f>
        <v>0</v>
      </c>
      <c r="BF41" s="22">
        <f>$BB41*E41</f>
        <v>12</v>
      </c>
      <c r="BG41" s="22">
        <f t="shared" si="42"/>
        <v>0</v>
      </c>
    </row>
    <row r="42" spans="1:59">
      <c r="A42" s="8"/>
      <c r="B42" s="12"/>
      <c r="C42" s="28" t="s">
        <v>42</v>
      </c>
      <c r="D42" s="15">
        <v>0</v>
      </c>
      <c r="E42" s="15">
        <v>1</v>
      </c>
      <c r="F42" s="15">
        <v>0</v>
      </c>
      <c r="G42" s="15">
        <v>0</v>
      </c>
      <c r="H42" s="15">
        <v>0</v>
      </c>
      <c r="I42">
        <v>4</v>
      </c>
      <c r="J42">
        <f>I42</f>
        <v>4</v>
      </c>
      <c r="K42">
        <v>2</v>
      </c>
      <c r="L42">
        <f t="shared" si="4"/>
        <v>2</v>
      </c>
      <c r="M42">
        <v>0</v>
      </c>
      <c r="N42">
        <f>L42-M42</f>
        <v>2</v>
      </c>
      <c r="O42">
        <v>0</v>
      </c>
      <c r="P42">
        <f t="shared" si="13"/>
        <v>2</v>
      </c>
      <c r="Q42">
        <v>0</v>
      </c>
      <c r="R42">
        <f t="shared" si="14"/>
        <v>2</v>
      </c>
      <c r="S42">
        <v>0</v>
      </c>
      <c r="T42">
        <f t="shared" si="15"/>
        <v>2</v>
      </c>
      <c r="U42">
        <v>0</v>
      </c>
      <c r="V42">
        <f t="shared" si="16"/>
        <v>2</v>
      </c>
      <c r="W42">
        <v>0</v>
      </c>
      <c r="X42">
        <f t="shared" si="17"/>
        <v>2</v>
      </c>
      <c r="Y42">
        <v>0</v>
      </c>
      <c r="Z42">
        <f t="shared" si="18"/>
        <v>2</v>
      </c>
      <c r="AA42">
        <v>0</v>
      </c>
      <c r="AB42">
        <f t="shared" si="19"/>
        <v>2</v>
      </c>
      <c r="AC42">
        <v>0</v>
      </c>
      <c r="AD42">
        <f t="shared" si="20"/>
        <v>2</v>
      </c>
      <c r="AE42">
        <v>1</v>
      </c>
      <c r="AF42">
        <f t="shared" si="21"/>
        <v>1</v>
      </c>
      <c r="AG42">
        <v>0</v>
      </c>
      <c r="AH42">
        <f t="shared" si="22"/>
        <v>1</v>
      </c>
      <c r="AI42">
        <v>0</v>
      </c>
      <c r="AJ42">
        <f t="shared" si="23"/>
        <v>1</v>
      </c>
      <c r="AK42">
        <v>0</v>
      </c>
      <c r="AL42">
        <f t="shared" si="24"/>
        <v>1</v>
      </c>
      <c r="AM42">
        <v>0</v>
      </c>
      <c r="AN42">
        <f t="shared" si="25"/>
        <v>1</v>
      </c>
      <c r="AO42">
        <v>1</v>
      </c>
      <c r="AP42">
        <f t="shared" si="26"/>
        <v>0</v>
      </c>
      <c r="AR42">
        <f t="shared" si="27"/>
        <v>0</v>
      </c>
      <c r="AS42">
        <v>0</v>
      </c>
      <c r="AT42">
        <f t="shared" si="28"/>
        <v>0</v>
      </c>
      <c r="AU42">
        <v>0</v>
      </c>
      <c r="AV42">
        <f t="shared" si="29"/>
        <v>0</v>
      </c>
      <c r="AW42">
        <v>0</v>
      </c>
      <c r="AX42">
        <f t="shared" si="30"/>
        <v>0</v>
      </c>
      <c r="AY42">
        <v>0</v>
      </c>
      <c r="AZ42" s="8">
        <f t="shared" si="31"/>
        <v>0</v>
      </c>
      <c r="BB42" s="22">
        <f t="shared" si="34"/>
        <v>4</v>
      </c>
      <c r="BC42">
        <f t="shared" si="39"/>
        <v>0</v>
      </c>
      <c r="BD42">
        <f>BC42*F42</f>
        <v>0</v>
      </c>
      <c r="BE42">
        <f>BB42*G42</f>
        <v>0</v>
      </c>
      <c r="BF42" s="22">
        <f t="shared" si="40"/>
        <v>4</v>
      </c>
      <c r="BG42" s="22">
        <f t="shared" si="42"/>
        <v>0</v>
      </c>
    </row>
    <row r="43" spans="1:59">
      <c r="A43" s="8"/>
      <c r="B43" s="12"/>
      <c r="C43" s="28" t="s">
        <v>43</v>
      </c>
      <c r="D43" s="15">
        <v>0.25</v>
      </c>
      <c r="E43" s="15">
        <f>E40</f>
        <v>0.75</v>
      </c>
      <c r="F43" s="15">
        <v>0</v>
      </c>
      <c r="G43" s="15">
        <v>0</v>
      </c>
      <c r="H43" s="15">
        <v>0</v>
      </c>
      <c r="I43">
        <v>5</v>
      </c>
      <c r="J43">
        <f t="shared" si="41"/>
        <v>5</v>
      </c>
      <c r="K43">
        <v>1</v>
      </c>
      <c r="L43">
        <f t="shared" si="4"/>
        <v>4</v>
      </c>
      <c r="M43">
        <v>1</v>
      </c>
      <c r="N43">
        <f>L43-M43</f>
        <v>3</v>
      </c>
      <c r="O43">
        <v>0</v>
      </c>
      <c r="P43">
        <f t="shared" si="13"/>
        <v>3</v>
      </c>
      <c r="Q43">
        <v>0</v>
      </c>
      <c r="R43">
        <f t="shared" si="14"/>
        <v>3</v>
      </c>
      <c r="S43">
        <v>1</v>
      </c>
      <c r="T43">
        <f t="shared" si="15"/>
        <v>2</v>
      </c>
      <c r="U43">
        <v>0</v>
      </c>
      <c r="V43">
        <f t="shared" si="16"/>
        <v>2</v>
      </c>
      <c r="W43">
        <v>0</v>
      </c>
      <c r="X43">
        <f t="shared" si="17"/>
        <v>2</v>
      </c>
      <c r="Y43">
        <v>0</v>
      </c>
      <c r="Z43">
        <f t="shared" si="18"/>
        <v>2</v>
      </c>
      <c r="AA43">
        <v>0</v>
      </c>
      <c r="AB43">
        <f t="shared" si="19"/>
        <v>2</v>
      </c>
      <c r="AC43">
        <v>0</v>
      </c>
      <c r="AD43">
        <f t="shared" si="20"/>
        <v>2</v>
      </c>
      <c r="AE43">
        <v>1</v>
      </c>
      <c r="AF43">
        <v>3</v>
      </c>
      <c r="AG43">
        <v>0</v>
      </c>
      <c r="AH43">
        <f t="shared" si="22"/>
        <v>3</v>
      </c>
      <c r="AI43">
        <v>0</v>
      </c>
      <c r="AJ43">
        <f t="shared" si="23"/>
        <v>3</v>
      </c>
      <c r="AK43">
        <v>0</v>
      </c>
      <c r="AL43">
        <f t="shared" si="24"/>
        <v>3</v>
      </c>
      <c r="AM43">
        <v>0</v>
      </c>
      <c r="AN43">
        <f t="shared" si="25"/>
        <v>3</v>
      </c>
      <c r="AO43">
        <v>0</v>
      </c>
      <c r="AP43">
        <f t="shared" si="26"/>
        <v>3</v>
      </c>
      <c r="AQ43">
        <v>0</v>
      </c>
      <c r="AR43">
        <f t="shared" si="27"/>
        <v>3</v>
      </c>
      <c r="AS43">
        <v>3</v>
      </c>
      <c r="AT43">
        <f t="shared" si="28"/>
        <v>0</v>
      </c>
      <c r="AU43">
        <v>0</v>
      </c>
      <c r="AV43">
        <v>1</v>
      </c>
      <c r="AW43">
        <v>1</v>
      </c>
      <c r="AX43">
        <f t="shared" si="30"/>
        <v>0</v>
      </c>
      <c r="AY43">
        <v>0</v>
      </c>
      <c r="AZ43" s="8">
        <f t="shared" si="31"/>
        <v>0</v>
      </c>
      <c r="BB43" s="22">
        <f t="shared" si="34"/>
        <v>8</v>
      </c>
      <c r="BC43">
        <f t="shared" si="39"/>
        <v>2</v>
      </c>
      <c r="BD43">
        <f>BC43*F43</f>
        <v>0</v>
      </c>
      <c r="BE43">
        <f>BB43*G43</f>
        <v>0</v>
      </c>
      <c r="BF43" s="22">
        <f t="shared" si="40"/>
        <v>6</v>
      </c>
      <c r="BG43" s="22">
        <f t="shared" si="42"/>
        <v>0</v>
      </c>
    </row>
    <row r="44" spans="1:59">
      <c r="A44" s="8"/>
      <c r="B44" s="12"/>
      <c r="C44" s="28" t="s">
        <v>44</v>
      </c>
      <c r="D44" s="15">
        <v>0</v>
      </c>
      <c r="E44" s="15">
        <v>1</v>
      </c>
      <c r="F44" s="15">
        <v>0</v>
      </c>
      <c r="G44" s="15">
        <v>0</v>
      </c>
      <c r="H44" s="15">
        <v>0</v>
      </c>
      <c r="I44">
        <v>5</v>
      </c>
      <c r="J44">
        <v>5</v>
      </c>
      <c r="K44" s="31">
        <v>0</v>
      </c>
      <c r="L44" s="31">
        <f>J44</f>
        <v>5</v>
      </c>
      <c r="M44">
        <v>0</v>
      </c>
      <c r="N44">
        <v>5</v>
      </c>
      <c r="O44">
        <v>1</v>
      </c>
      <c r="P44">
        <f t="shared" si="13"/>
        <v>4</v>
      </c>
      <c r="Q44">
        <v>1</v>
      </c>
      <c r="R44">
        <f t="shared" si="14"/>
        <v>3</v>
      </c>
      <c r="S44">
        <v>0</v>
      </c>
      <c r="T44">
        <f t="shared" si="15"/>
        <v>3</v>
      </c>
      <c r="U44">
        <v>0</v>
      </c>
      <c r="V44">
        <f t="shared" si="16"/>
        <v>3</v>
      </c>
      <c r="W44">
        <v>0</v>
      </c>
      <c r="X44">
        <f t="shared" si="17"/>
        <v>3</v>
      </c>
      <c r="Y44">
        <v>0</v>
      </c>
      <c r="Z44">
        <f t="shared" si="18"/>
        <v>3</v>
      </c>
      <c r="AA44">
        <v>1</v>
      </c>
      <c r="AB44">
        <f t="shared" si="19"/>
        <v>2</v>
      </c>
      <c r="AC44">
        <v>0</v>
      </c>
      <c r="AD44">
        <f t="shared" si="20"/>
        <v>2</v>
      </c>
      <c r="AE44">
        <v>0</v>
      </c>
      <c r="AF44">
        <f t="shared" si="21"/>
        <v>2</v>
      </c>
      <c r="AG44">
        <v>0</v>
      </c>
      <c r="AH44">
        <f t="shared" si="22"/>
        <v>2</v>
      </c>
      <c r="AI44">
        <v>0</v>
      </c>
      <c r="AJ44">
        <f t="shared" si="23"/>
        <v>2</v>
      </c>
      <c r="AK44">
        <v>1</v>
      </c>
      <c r="AL44">
        <f t="shared" si="24"/>
        <v>1</v>
      </c>
      <c r="AM44">
        <v>0</v>
      </c>
      <c r="AN44">
        <f t="shared" si="25"/>
        <v>1</v>
      </c>
      <c r="AO44">
        <v>1</v>
      </c>
      <c r="AP44">
        <f t="shared" si="26"/>
        <v>0</v>
      </c>
      <c r="AQ44">
        <v>0</v>
      </c>
      <c r="AR44">
        <f t="shared" si="27"/>
        <v>0</v>
      </c>
      <c r="AS44">
        <v>0</v>
      </c>
      <c r="AT44">
        <f t="shared" si="28"/>
        <v>0</v>
      </c>
      <c r="AU44">
        <v>0</v>
      </c>
      <c r="AV44">
        <v>1</v>
      </c>
      <c r="AW44">
        <v>1</v>
      </c>
      <c r="AX44">
        <f t="shared" si="30"/>
        <v>0</v>
      </c>
      <c r="AY44">
        <v>0</v>
      </c>
      <c r="AZ44" s="8">
        <v>0</v>
      </c>
      <c r="BB44" s="22">
        <f t="shared" si="34"/>
        <v>6</v>
      </c>
      <c r="BC44">
        <f t="shared" si="39"/>
        <v>0</v>
      </c>
      <c r="BD44">
        <f>BC44*F44</f>
        <v>0</v>
      </c>
      <c r="BE44">
        <f>BB44*G44</f>
        <v>0</v>
      </c>
      <c r="BF44" s="22">
        <f t="shared" si="40"/>
        <v>6</v>
      </c>
      <c r="BG44" s="22">
        <f t="shared" si="42"/>
        <v>0</v>
      </c>
    </row>
    <row r="45" spans="1:59">
      <c r="A45" s="8"/>
      <c r="B45" s="9">
        <v>9</v>
      </c>
      <c r="C45" s="10" t="s">
        <v>45</v>
      </c>
      <c r="D45" s="34">
        <f>D46</f>
        <v>0.25</v>
      </c>
      <c r="E45" s="27">
        <f>E46</f>
        <v>0.75</v>
      </c>
      <c r="F45" s="14"/>
      <c r="G45" s="14"/>
      <c r="H45" s="14"/>
      <c r="I45" s="11"/>
      <c r="J45" s="11"/>
      <c r="K45" s="11"/>
      <c r="L45" s="11"/>
      <c r="M45" s="11"/>
      <c r="N45" s="11"/>
      <c r="O45" s="11"/>
      <c r="P45" s="14"/>
      <c r="Q45" s="14"/>
      <c r="R45" s="11"/>
      <c r="S45" s="11"/>
      <c r="T45" s="11"/>
      <c r="U45" s="11"/>
      <c r="V45" s="11"/>
      <c r="W45" s="11"/>
      <c r="X45" s="11"/>
      <c r="Y45" s="14"/>
      <c r="Z45" s="14"/>
      <c r="AA45" s="11"/>
      <c r="AB45" s="11"/>
      <c r="AC45" s="11"/>
      <c r="AD45" s="11"/>
      <c r="AE45" s="11"/>
      <c r="AF45" s="11"/>
      <c r="AG45" s="11"/>
      <c r="AH45" s="14"/>
      <c r="AI45" s="14"/>
      <c r="AJ45" s="11"/>
      <c r="AK45" s="11"/>
      <c r="AL45" s="11"/>
      <c r="AM45" s="11"/>
      <c r="AN45" s="11"/>
      <c r="AO45" s="11"/>
      <c r="AP45" s="11"/>
      <c r="AQ45" s="14"/>
      <c r="AR45" s="14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</row>
    <row r="46" spans="1:59">
      <c r="A46" s="8"/>
      <c r="B46" s="8"/>
      <c r="C46" s="28" t="s">
        <v>46</v>
      </c>
      <c r="D46" s="15">
        <v>0.25</v>
      </c>
      <c r="E46" s="15">
        <f>100%-D46</f>
        <v>0.75</v>
      </c>
      <c r="F46" s="15">
        <v>0</v>
      </c>
      <c r="G46" s="15">
        <v>0</v>
      </c>
      <c r="H46" s="15">
        <v>0</v>
      </c>
      <c r="I46" s="31">
        <v>8</v>
      </c>
      <c r="J46">
        <f>I46</f>
        <v>8</v>
      </c>
      <c r="K46">
        <v>0</v>
      </c>
      <c r="L46">
        <f t="shared" si="4"/>
        <v>8</v>
      </c>
      <c r="M46">
        <v>0</v>
      </c>
      <c r="N46">
        <f>L46-M46</f>
        <v>8</v>
      </c>
      <c r="O46">
        <v>0</v>
      </c>
      <c r="P46">
        <f t="shared" si="13"/>
        <v>8</v>
      </c>
      <c r="Q46">
        <v>0</v>
      </c>
      <c r="R46">
        <f t="shared" si="14"/>
        <v>8</v>
      </c>
      <c r="S46">
        <v>0</v>
      </c>
      <c r="T46">
        <f t="shared" si="15"/>
        <v>8</v>
      </c>
      <c r="U46">
        <v>0</v>
      </c>
      <c r="V46">
        <f t="shared" si="16"/>
        <v>8</v>
      </c>
      <c r="W46">
        <v>0</v>
      </c>
      <c r="X46">
        <f t="shared" si="17"/>
        <v>8</v>
      </c>
      <c r="Y46">
        <v>0</v>
      </c>
      <c r="Z46">
        <f t="shared" si="18"/>
        <v>8</v>
      </c>
      <c r="AA46">
        <v>0</v>
      </c>
      <c r="AB46">
        <f t="shared" si="19"/>
        <v>8</v>
      </c>
      <c r="AC46">
        <v>0</v>
      </c>
      <c r="AD46">
        <f t="shared" si="20"/>
        <v>8</v>
      </c>
      <c r="AE46">
        <v>0</v>
      </c>
      <c r="AF46">
        <f t="shared" si="21"/>
        <v>8</v>
      </c>
      <c r="AG46">
        <v>0</v>
      </c>
      <c r="AH46">
        <f t="shared" si="22"/>
        <v>8</v>
      </c>
      <c r="AI46">
        <v>0</v>
      </c>
      <c r="AJ46">
        <f t="shared" si="23"/>
        <v>8</v>
      </c>
      <c r="AK46">
        <v>0</v>
      </c>
      <c r="AL46">
        <f t="shared" si="24"/>
        <v>8</v>
      </c>
      <c r="AM46">
        <v>0</v>
      </c>
      <c r="AN46">
        <f t="shared" si="25"/>
        <v>8</v>
      </c>
      <c r="AO46">
        <v>0</v>
      </c>
      <c r="AP46">
        <f t="shared" si="26"/>
        <v>8</v>
      </c>
      <c r="AQ46">
        <v>0</v>
      </c>
      <c r="AR46">
        <f t="shared" si="27"/>
        <v>8</v>
      </c>
      <c r="AS46">
        <v>0</v>
      </c>
      <c r="AT46">
        <f t="shared" si="28"/>
        <v>8</v>
      </c>
      <c r="AU46">
        <v>4</v>
      </c>
      <c r="AV46">
        <f t="shared" si="29"/>
        <v>4</v>
      </c>
      <c r="AW46">
        <v>4</v>
      </c>
      <c r="AX46">
        <f>AV46-AW46</f>
        <v>0</v>
      </c>
      <c r="AY46">
        <v>0</v>
      </c>
      <c r="AZ46" s="8">
        <f t="shared" si="31"/>
        <v>0</v>
      </c>
      <c r="BB46" s="22">
        <f t="shared" si="34"/>
        <v>8</v>
      </c>
      <c r="BC46">
        <f t="shared" si="39"/>
        <v>2</v>
      </c>
      <c r="BD46">
        <f t="shared" ref="BD46:BE48" si="43">BC46*F46</f>
        <v>0</v>
      </c>
      <c r="BE46">
        <f t="shared" si="43"/>
        <v>0</v>
      </c>
      <c r="BF46" s="22">
        <f t="shared" si="40"/>
        <v>6</v>
      </c>
      <c r="BG46" s="22">
        <f t="shared" si="42"/>
        <v>0</v>
      </c>
    </row>
    <row r="47" spans="1:59">
      <c r="A47" s="8"/>
      <c r="B47" s="8"/>
      <c r="C47" s="28" t="s">
        <v>47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31">
        <v>3</v>
      </c>
      <c r="J47">
        <f>I47</f>
        <v>3</v>
      </c>
      <c r="K47">
        <v>0</v>
      </c>
      <c r="L47">
        <f>J47-K47</f>
        <v>3</v>
      </c>
      <c r="M47">
        <v>0</v>
      </c>
      <c r="N47">
        <f>L47-M47</f>
        <v>3</v>
      </c>
      <c r="O47">
        <v>0</v>
      </c>
      <c r="P47">
        <f t="shared" si="13"/>
        <v>3</v>
      </c>
      <c r="Q47">
        <v>0</v>
      </c>
      <c r="R47">
        <f t="shared" si="14"/>
        <v>3</v>
      </c>
      <c r="S47">
        <v>0</v>
      </c>
      <c r="T47">
        <f t="shared" si="15"/>
        <v>3</v>
      </c>
      <c r="U47">
        <v>0</v>
      </c>
      <c r="V47">
        <f t="shared" si="16"/>
        <v>3</v>
      </c>
      <c r="W47">
        <v>0</v>
      </c>
      <c r="X47">
        <f t="shared" si="17"/>
        <v>3</v>
      </c>
      <c r="Y47">
        <v>0</v>
      </c>
      <c r="Z47">
        <f t="shared" si="18"/>
        <v>3</v>
      </c>
      <c r="AA47">
        <v>0</v>
      </c>
      <c r="AB47">
        <f t="shared" si="19"/>
        <v>3</v>
      </c>
      <c r="AC47">
        <v>0</v>
      </c>
      <c r="AD47">
        <f t="shared" si="20"/>
        <v>3</v>
      </c>
      <c r="AE47">
        <v>0</v>
      </c>
      <c r="AF47">
        <f t="shared" si="21"/>
        <v>3</v>
      </c>
      <c r="AG47">
        <v>0</v>
      </c>
      <c r="AH47">
        <f t="shared" si="22"/>
        <v>3</v>
      </c>
      <c r="AI47">
        <v>0</v>
      </c>
      <c r="AJ47">
        <f t="shared" si="23"/>
        <v>3</v>
      </c>
      <c r="AK47">
        <v>0</v>
      </c>
      <c r="AL47">
        <f t="shared" si="24"/>
        <v>3</v>
      </c>
      <c r="AM47">
        <v>0</v>
      </c>
      <c r="AN47">
        <f t="shared" si="25"/>
        <v>3</v>
      </c>
      <c r="AO47">
        <v>0</v>
      </c>
      <c r="AP47">
        <f t="shared" si="26"/>
        <v>3</v>
      </c>
      <c r="AQ47">
        <v>0</v>
      </c>
      <c r="AR47">
        <f t="shared" si="27"/>
        <v>3</v>
      </c>
      <c r="AS47">
        <v>0</v>
      </c>
      <c r="AT47">
        <f t="shared" si="28"/>
        <v>3</v>
      </c>
      <c r="AU47">
        <v>0</v>
      </c>
      <c r="AV47">
        <v>4</v>
      </c>
      <c r="AW47">
        <v>4</v>
      </c>
      <c r="AX47">
        <v>0</v>
      </c>
      <c r="AY47">
        <v>0</v>
      </c>
      <c r="AZ47" s="8">
        <f t="shared" si="31"/>
        <v>0</v>
      </c>
      <c r="BB47" s="22">
        <f t="shared" si="34"/>
        <v>4</v>
      </c>
      <c r="BC47">
        <f>$BB47*D47</f>
        <v>0</v>
      </c>
      <c r="BD47">
        <f>BC47*F47</f>
        <v>0</v>
      </c>
      <c r="BE47">
        <f t="shared" si="43"/>
        <v>0</v>
      </c>
      <c r="BF47" s="22">
        <f t="shared" si="40"/>
        <v>4</v>
      </c>
      <c r="BG47" s="22">
        <f t="shared" si="42"/>
        <v>0</v>
      </c>
    </row>
    <row r="48" spans="1:59">
      <c r="A48" s="8"/>
      <c r="B48" s="8"/>
      <c r="C48" s="28" t="s">
        <v>48</v>
      </c>
      <c r="D48" s="15">
        <v>0</v>
      </c>
      <c r="E48" s="15">
        <v>1</v>
      </c>
      <c r="F48" s="15">
        <v>0</v>
      </c>
      <c r="G48" s="15">
        <v>0</v>
      </c>
      <c r="H48" s="15">
        <v>0</v>
      </c>
      <c r="I48">
        <v>5</v>
      </c>
      <c r="J48">
        <f t="shared" si="41"/>
        <v>5</v>
      </c>
      <c r="K48">
        <v>0</v>
      </c>
      <c r="L48">
        <f t="shared" si="4"/>
        <v>5</v>
      </c>
      <c r="M48">
        <v>0</v>
      </c>
      <c r="N48">
        <f>L48-M48</f>
        <v>5</v>
      </c>
      <c r="O48">
        <v>0</v>
      </c>
      <c r="P48">
        <f t="shared" si="13"/>
        <v>5</v>
      </c>
      <c r="Q48">
        <v>0</v>
      </c>
      <c r="R48">
        <f t="shared" si="14"/>
        <v>5</v>
      </c>
      <c r="S48">
        <v>0</v>
      </c>
      <c r="T48">
        <f t="shared" si="15"/>
        <v>5</v>
      </c>
      <c r="U48">
        <v>0</v>
      </c>
      <c r="V48">
        <f t="shared" si="16"/>
        <v>5</v>
      </c>
      <c r="W48">
        <v>0</v>
      </c>
      <c r="X48">
        <f t="shared" si="17"/>
        <v>5</v>
      </c>
      <c r="Y48">
        <v>0</v>
      </c>
      <c r="Z48">
        <f t="shared" si="18"/>
        <v>5</v>
      </c>
      <c r="AA48">
        <v>0</v>
      </c>
      <c r="AB48">
        <f t="shared" si="19"/>
        <v>5</v>
      </c>
      <c r="AC48">
        <v>0</v>
      </c>
      <c r="AD48">
        <f t="shared" si="20"/>
        <v>5</v>
      </c>
      <c r="AE48">
        <v>0</v>
      </c>
      <c r="AF48">
        <f t="shared" si="21"/>
        <v>5</v>
      </c>
      <c r="AG48">
        <v>0</v>
      </c>
      <c r="AH48">
        <f t="shared" si="22"/>
        <v>5</v>
      </c>
      <c r="AI48">
        <v>0</v>
      </c>
      <c r="AJ48">
        <f t="shared" si="23"/>
        <v>5</v>
      </c>
      <c r="AK48">
        <v>0</v>
      </c>
      <c r="AL48">
        <f t="shared" si="24"/>
        <v>5</v>
      </c>
      <c r="AM48">
        <v>0</v>
      </c>
      <c r="AN48">
        <f t="shared" si="25"/>
        <v>5</v>
      </c>
      <c r="AO48">
        <v>0</v>
      </c>
      <c r="AP48">
        <f t="shared" si="26"/>
        <v>5</v>
      </c>
      <c r="AQ48">
        <v>0</v>
      </c>
      <c r="AR48">
        <f t="shared" si="27"/>
        <v>5</v>
      </c>
      <c r="AS48">
        <v>0</v>
      </c>
      <c r="AT48">
        <f t="shared" si="28"/>
        <v>5</v>
      </c>
      <c r="AU48">
        <v>2</v>
      </c>
      <c r="AV48">
        <f t="shared" si="29"/>
        <v>3</v>
      </c>
      <c r="AW48">
        <v>3</v>
      </c>
      <c r="AX48">
        <f>AV48-AW48</f>
        <v>0</v>
      </c>
      <c r="AY48">
        <v>0</v>
      </c>
      <c r="AZ48" s="8">
        <f t="shared" si="31"/>
        <v>0</v>
      </c>
      <c r="BB48" s="22">
        <f t="shared" si="34"/>
        <v>5</v>
      </c>
      <c r="BC48">
        <f t="shared" si="39"/>
        <v>0</v>
      </c>
      <c r="BD48">
        <f>BC48*F48</f>
        <v>0</v>
      </c>
      <c r="BE48">
        <f t="shared" si="43"/>
        <v>0</v>
      </c>
      <c r="BF48" s="22">
        <f t="shared" si="40"/>
        <v>5</v>
      </c>
      <c r="BG48" s="22">
        <f t="shared" si="42"/>
        <v>0</v>
      </c>
    </row>
    <row r="49" spans="1:59">
      <c r="A49" s="8"/>
      <c r="B49" s="9">
        <v>10</v>
      </c>
      <c r="C49" s="10" t="s">
        <v>49</v>
      </c>
      <c r="D49" s="27">
        <v>0.25</v>
      </c>
      <c r="E49" s="14"/>
      <c r="F49" s="33">
        <v>0.75</v>
      </c>
      <c r="G49" s="14"/>
      <c r="H49" s="14"/>
      <c r="I49" s="11"/>
      <c r="J49" s="11"/>
      <c r="K49" s="11"/>
      <c r="L49" s="11"/>
      <c r="M49" s="11"/>
      <c r="N49" s="11"/>
      <c r="O49" s="11"/>
      <c r="P49" s="14"/>
      <c r="Q49" s="14"/>
      <c r="R49" s="11"/>
      <c r="S49" s="11"/>
      <c r="T49" s="11"/>
      <c r="U49" s="11"/>
      <c r="V49" s="11"/>
      <c r="W49" s="11"/>
      <c r="X49" s="11"/>
      <c r="Y49" s="14"/>
      <c r="Z49" s="14"/>
      <c r="AA49" s="11"/>
      <c r="AB49" s="11"/>
      <c r="AC49" s="11"/>
      <c r="AD49" s="11"/>
      <c r="AE49" s="11"/>
      <c r="AF49" s="11"/>
      <c r="AG49" s="11"/>
      <c r="AH49" s="14"/>
      <c r="AI49" s="14"/>
      <c r="AJ49" s="11"/>
      <c r="AK49" s="11"/>
      <c r="AL49" s="11"/>
      <c r="AM49" s="11"/>
      <c r="AN49" s="11"/>
      <c r="AO49" s="11"/>
      <c r="AP49" s="11"/>
      <c r="AQ49" s="14"/>
      <c r="AR49" s="14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</row>
    <row r="50" spans="1:59">
      <c r="A50" s="8"/>
      <c r="B50" s="8"/>
      <c r="C50" s="28" t="s">
        <v>50</v>
      </c>
      <c r="D50" s="15">
        <v>0</v>
      </c>
      <c r="E50" s="15">
        <v>0</v>
      </c>
      <c r="F50" s="15">
        <v>1</v>
      </c>
      <c r="G50" s="15">
        <v>0</v>
      </c>
      <c r="H50" s="15">
        <v>0</v>
      </c>
      <c r="I50">
        <v>3</v>
      </c>
      <c r="J50">
        <f>I50</f>
        <v>3</v>
      </c>
      <c r="K50">
        <v>3</v>
      </c>
      <c r="L50">
        <v>4</v>
      </c>
      <c r="M50">
        <v>4</v>
      </c>
      <c r="N50">
        <v>3</v>
      </c>
      <c r="O50">
        <v>3</v>
      </c>
      <c r="P50">
        <f>N50-O50</f>
        <v>0</v>
      </c>
      <c r="Q50">
        <v>0</v>
      </c>
      <c r="R50">
        <f>P50-Q50</f>
        <v>0</v>
      </c>
      <c r="S50">
        <v>0</v>
      </c>
      <c r="T50">
        <v>2</v>
      </c>
      <c r="U50">
        <v>2</v>
      </c>
      <c r="V50">
        <v>3</v>
      </c>
      <c r="W50">
        <v>3</v>
      </c>
      <c r="X50">
        <v>6</v>
      </c>
      <c r="Y50">
        <v>6</v>
      </c>
      <c r="Z50">
        <v>5</v>
      </c>
      <c r="AA50">
        <v>5</v>
      </c>
      <c r="AB50">
        <v>4</v>
      </c>
      <c r="AC50">
        <v>2</v>
      </c>
      <c r="AD50">
        <f>AB50-AC50</f>
        <v>2</v>
      </c>
      <c r="AE50">
        <v>2</v>
      </c>
      <c r="AF50">
        <f>AD50-AE50</f>
        <v>0</v>
      </c>
      <c r="AG50">
        <v>0</v>
      </c>
      <c r="AH50">
        <v>4</v>
      </c>
      <c r="AI50">
        <v>2</v>
      </c>
      <c r="AJ50">
        <f>AH50-AI50</f>
        <v>2</v>
      </c>
      <c r="AK50">
        <v>2</v>
      </c>
      <c r="AL50">
        <v>3</v>
      </c>
      <c r="AM50">
        <v>3</v>
      </c>
      <c r="AN50">
        <f>AL50-AM50</f>
        <v>0</v>
      </c>
      <c r="AO50">
        <v>0</v>
      </c>
      <c r="AP50">
        <v>6</v>
      </c>
      <c r="AQ50">
        <v>3</v>
      </c>
      <c r="AR50">
        <f>AP50-AQ50</f>
        <v>3</v>
      </c>
      <c r="AS50">
        <v>3</v>
      </c>
      <c r="AT50">
        <v>5</v>
      </c>
      <c r="AU50">
        <v>4</v>
      </c>
      <c r="AV50">
        <v>7</v>
      </c>
      <c r="AW50">
        <v>5</v>
      </c>
      <c r="AX50">
        <f>AV50-AW50</f>
        <v>2</v>
      </c>
      <c r="AY50">
        <v>3</v>
      </c>
      <c r="AZ50" s="8">
        <f t="shared" si="31"/>
        <v>-1</v>
      </c>
      <c r="BB50" s="22">
        <f>AY50+AW50+AU50+AS50+AQ50+AO50+AM50+AK50+AI50+AG50+AE50+AC50+AA50+Y50+W50+U50+S50+Q50+O50+M50+K50</f>
        <v>55</v>
      </c>
      <c r="BC50">
        <f t="shared" si="39"/>
        <v>0</v>
      </c>
      <c r="BD50">
        <f>BB50*F50</f>
        <v>55</v>
      </c>
      <c r="BE50">
        <f t="shared" ref="BE50:BE51" si="44">BD50*G50</f>
        <v>0</v>
      </c>
      <c r="BF50" s="22">
        <f t="shared" si="40"/>
        <v>0</v>
      </c>
      <c r="BG50" s="22">
        <f t="shared" si="42"/>
        <v>0</v>
      </c>
    </row>
    <row r="51" spans="1:59">
      <c r="A51" s="8"/>
      <c r="B51" s="8"/>
      <c r="C51" s="28" t="s">
        <v>51</v>
      </c>
      <c r="D51" s="15">
        <v>0</v>
      </c>
      <c r="E51" s="15">
        <v>0</v>
      </c>
      <c r="F51" s="15">
        <v>1</v>
      </c>
      <c r="G51" s="15">
        <v>0</v>
      </c>
      <c r="H51" s="15">
        <v>0</v>
      </c>
      <c r="I51">
        <v>5</v>
      </c>
      <c r="J51">
        <f>I51</f>
        <v>5</v>
      </c>
      <c r="K51">
        <v>0</v>
      </c>
      <c r="L51">
        <f>J51-K51</f>
        <v>5</v>
      </c>
      <c r="M51">
        <v>0</v>
      </c>
      <c r="N51">
        <f>L51-M51</f>
        <v>5</v>
      </c>
      <c r="O51">
        <v>0</v>
      </c>
      <c r="P51">
        <f>N51-O51</f>
        <v>5</v>
      </c>
      <c r="Q51">
        <v>0</v>
      </c>
      <c r="R51">
        <f>P51-Q51</f>
        <v>5</v>
      </c>
      <c r="S51">
        <v>0</v>
      </c>
      <c r="T51">
        <f>R51-S51</f>
        <v>5</v>
      </c>
      <c r="U51">
        <v>0</v>
      </c>
      <c r="V51">
        <f>T51-U51</f>
        <v>5</v>
      </c>
      <c r="W51">
        <v>0</v>
      </c>
      <c r="X51">
        <f>V51-W51</f>
        <v>5</v>
      </c>
      <c r="Y51">
        <v>0</v>
      </c>
      <c r="Z51">
        <f>X51-Y51</f>
        <v>5</v>
      </c>
      <c r="AA51">
        <v>0</v>
      </c>
      <c r="AB51">
        <f>Z51-AA51</f>
        <v>5</v>
      </c>
      <c r="AC51">
        <v>0</v>
      </c>
      <c r="AD51">
        <f>AB51-AC51</f>
        <v>5</v>
      </c>
      <c r="AE51">
        <v>0</v>
      </c>
      <c r="AF51">
        <f>AD51-AE51</f>
        <v>5</v>
      </c>
      <c r="AG51">
        <v>0</v>
      </c>
      <c r="AH51">
        <f>AF51-AG51</f>
        <v>5</v>
      </c>
      <c r="AI51">
        <v>0</v>
      </c>
      <c r="AJ51">
        <f>AH51-AI51</f>
        <v>5</v>
      </c>
      <c r="AK51">
        <v>0</v>
      </c>
      <c r="AL51">
        <f>AJ51-AK51</f>
        <v>5</v>
      </c>
      <c r="AM51">
        <v>0</v>
      </c>
      <c r="AN51">
        <f>AL51-AM51</f>
        <v>5</v>
      </c>
      <c r="AO51">
        <v>0</v>
      </c>
      <c r="AP51">
        <f>AN51-AO51</f>
        <v>5</v>
      </c>
      <c r="AQ51">
        <v>0</v>
      </c>
      <c r="AR51">
        <f>AP51-AQ51</f>
        <v>5</v>
      </c>
      <c r="AS51">
        <v>0</v>
      </c>
      <c r="AT51">
        <f>AR51-AS51</f>
        <v>5</v>
      </c>
      <c r="AU51">
        <v>0</v>
      </c>
      <c r="AV51">
        <f>AT51-AU51</f>
        <v>5</v>
      </c>
      <c r="AW51">
        <v>3</v>
      </c>
      <c r="AX51">
        <f>AV51-AW51</f>
        <v>2</v>
      </c>
      <c r="AY51">
        <v>0</v>
      </c>
      <c r="AZ51" s="8">
        <f t="shared" si="31"/>
        <v>2</v>
      </c>
      <c r="BB51" s="22">
        <f>AY51+AW51+AU51+AS51+AQ51+AO51+AM51+AK51+AI51+AG51+AE51+AC51+AA51+Y51+W51+U51+S51+Q51+O51+M51+K51</f>
        <v>3</v>
      </c>
      <c r="BC51">
        <f>$BB51*D51</f>
        <v>0</v>
      </c>
      <c r="BD51">
        <f>BB51*F51</f>
        <v>3</v>
      </c>
      <c r="BE51">
        <f t="shared" si="44"/>
        <v>0</v>
      </c>
      <c r="BF51" s="22">
        <f t="shared" si="40"/>
        <v>0</v>
      </c>
      <c r="BG51" s="22">
        <f t="shared" si="42"/>
        <v>0</v>
      </c>
    </row>
    <row r="52" spans="1:59">
      <c r="A52" s="8"/>
      <c r="B52" s="8"/>
      <c r="C52" s="28" t="s">
        <v>52</v>
      </c>
      <c r="D52" s="15">
        <v>1</v>
      </c>
      <c r="E52" s="15">
        <v>0</v>
      </c>
      <c r="F52" s="15">
        <v>0</v>
      </c>
      <c r="G52" s="15">
        <v>0</v>
      </c>
      <c r="H52" s="15">
        <v>0</v>
      </c>
      <c r="I52" s="31">
        <v>2</v>
      </c>
      <c r="J52">
        <f>I52</f>
        <v>2</v>
      </c>
      <c r="K52">
        <v>0</v>
      </c>
      <c r="L52">
        <f>J52-K52</f>
        <v>2</v>
      </c>
      <c r="M52">
        <v>0</v>
      </c>
      <c r="N52">
        <f>L52-M52</f>
        <v>2</v>
      </c>
      <c r="O52">
        <v>0</v>
      </c>
      <c r="P52">
        <f>N52-O52</f>
        <v>2</v>
      </c>
      <c r="Q52">
        <v>0</v>
      </c>
      <c r="R52">
        <f>P52-Q52</f>
        <v>2</v>
      </c>
      <c r="S52">
        <v>0</v>
      </c>
      <c r="T52">
        <f>R52-S52</f>
        <v>2</v>
      </c>
      <c r="U52">
        <v>0</v>
      </c>
      <c r="V52">
        <f>T52-U52</f>
        <v>2</v>
      </c>
      <c r="W52">
        <v>0</v>
      </c>
      <c r="X52">
        <f>V52-W52</f>
        <v>2</v>
      </c>
      <c r="Y52">
        <v>0</v>
      </c>
      <c r="Z52">
        <f>X52-Y52</f>
        <v>2</v>
      </c>
      <c r="AA52">
        <v>0</v>
      </c>
      <c r="AB52">
        <f>Z52-AA52</f>
        <v>2</v>
      </c>
      <c r="AC52">
        <v>0</v>
      </c>
      <c r="AD52">
        <f>AB52-AC52</f>
        <v>2</v>
      </c>
      <c r="AE52">
        <v>0</v>
      </c>
      <c r="AF52">
        <f>AD52-AE52</f>
        <v>2</v>
      </c>
      <c r="AG52">
        <v>0</v>
      </c>
      <c r="AH52">
        <f>AF52-AG52</f>
        <v>2</v>
      </c>
      <c r="AI52">
        <v>0</v>
      </c>
      <c r="AJ52">
        <f>AH52-AI52</f>
        <v>2</v>
      </c>
      <c r="AK52">
        <v>0</v>
      </c>
      <c r="AL52">
        <f>AJ52-AK52</f>
        <v>2</v>
      </c>
      <c r="AM52">
        <v>0</v>
      </c>
      <c r="AN52">
        <f>AL52-AM52</f>
        <v>2</v>
      </c>
      <c r="AO52">
        <v>0</v>
      </c>
      <c r="AP52">
        <f>AN52-AO52</f>
        <v>2</v>
      </c>
      <c r="AQ52">
        <v>0</v>
      </c>
      <c r="AR52">
        <f>AP52-AQ52</f>
        <v>2</v>
      </c>
      <c r="AS52">
        <v>0</v>
      </c>
      <c r="AT52">
        <f>AR52-AS52</f>
        <v>2</v>
      </c>
      <c r="AU52">
        <v>0</v>
      </c>
      <c r="AV52">
        <f>AT52-AU52</f>
        <v>2</v>
      </c>
      <c r="AW52">
        <v>0</v>
      </c>
      <c r="AX52">
        <f>AV52-AW52</f>
        <v>2</v>
      </c>
      <c r="AY52">
        <v>2</v>
      </c>
      <c r="AZ52">
        <f>AX52-AY52</f>
        <v>0</v>
      </c>
      <c r="BB52" s="22">
        <f>AY52+AW52+AU52+AS52+AQ52+AO52+AM52+AK52+AI52+AG52+AE52+AC52+AA52+Y52+W52+U52+S52+Q52+O52+M52+K52</f>
        <v>2</v>
      </c>
      <c r="BC52">
        <f>$BB52*D52</f>
        <v>2</v>
      </c>
      <c r="BD52">
        <f>BB52*F52</f>
        <v>0</v>
      </c>
      <c r="BE52">
        <f>BD52*G52</f>
        <v>0</v>
      </c>
      <c r="BF52" s="22">
        <f>$BB52*E52</f>
        <v>0</v>
      </c>
      <c r="BG52" s="22">
        <f>$BB52*H52</f>
        <v>0</v>
      </c>
    </row>
    <row r="53" spans="1:59" ht="39.6">
      <c r="A53" s="8"/>
      <c r="B53" s="8"/>
      <c r="C53" s="41" t="s">
        <v>53</v>
      </c>
      <c r="D53" s="15">
        <v>0</v>
      </c>
      <c r="E53" s="15">
        <v>0</v>
      </c>
      <c r="F53" s="15">
        <v>1</v>
      </c>
      <c r="G53" s="15">
        <v>0</v>
      </c>
      <c r="H53" s="15">
        <v>0</v>
      </c>
      <c r="I53">
        <v>5</v>
      </c>
      <c r="J53">
        <f>I53</f>
        <v>5</v>
      </c>
      <c r="K53">
        <v>0</v>
      </c>
      <c r="L53">
        <f>J53-K53</f>
        <v>5</v>
      </c>
      <c r="M53">
        <v>0</v>
      </c>
      <c r="N53">
        <f>L53-M53</f>
        <v>5</v>
      </c>
      <c r="O53">
        <v>0</v>
      </c>
      <c r="P53">
        <f>N53-O53</f>
        <v>5</v>
      </c>
      <c r="Q53">
        <v>0</v>
      </c>
      <c r="R53">
        <f>P53-Q53</f>
        <v>5</v>
      </c>
      <c r="S53">
        <v>0</v>
      </c>
      <c r="T53">
        <f>R53-S53</f>
        <v>5</v>
      </c>
      <c r="U53">
        <v>0</v>
      </c>
      <c r="V53">
        <f>T53-U53</f>
        <v>5</v>
      </c>
      <c r="W53">
        <v>0</v>
      </c>
      <c r="X53">
        <f>V53-W53</f>
        <v>5</v>
      </c>
      <c r="Y53">
        <v>0</v>
      </c>
      <c r="Z53">
        <f>X53-Y53</f>
        <v>5</v>
      </c>
      <c r="AA53">
        <v>0</v>
      </c>
      <c r="AB53">
        <f>Z53-AA53</f>
        <v>5</v>
      </c>
      <c r="AC53">
        <v>0</v>
      </c>
      <c r="AD53">
        <f>AB53-AC53</f>
        <v>5</v>
      </c>
      <c r="AE53">
        <v>0</v>
      </c>
      <c r="AF53">
        <f>AD53-AE53</f>
        <v>5</v>
      </c>
      <c r="AG53">
        <v>0</v>
      </c>
      <c r="AH53">
        <f>AF53-AG53</f>
        <v>5</v>
      </c>
      <c r="AI53">
        <v>0</v>
      </c>
      <c r="AJ53">
        <f>AH53-AI53</f>
        <v>5</v>
      </c>
      <c r="AK53">
        <v>0</v>
      </c>
      <c r="AL53">
        <f>AJ53-AK53</f>
        <v>5</v>
      </c>
      <c r="AM53">
        <v>0</v>
      </c>
      <c r="AN53">
        <f>AL53-AM53</f>
        <v>5</v>
      </c>
      <c r="AO53">
        <v>0</v>
      </c>
      <c r="AP53">
        <f>AN53-AO53</f>
        <v>5</v>
      </c>
      <c r="AQ53">
        <v>0</v>
      </c>
      <c r="AR53">
        <f>AP53-AQ53</f>
        <v>5</v>
      </c>
      <c r="AS53">
        <v>0</v>
      </c>
      <c r="AT53">
        <f>AR53-AS53</f>
        <v>5</v>
      </c>
      <c r="AU53">
        <v>0</v>
      </c>
      <c r="AV53">
        <f>AT53-AU53</f>
        <v>5</v>
      </c>
      <c r="AW53">
        <v>3</v>
      </c>
      <c r="AX53">
        <f>AV53-AW53</f>
        <v>2</v>
      </c>
      <c r="AY53">
        <v>2</v>
      </c>
      <c r="AZ53" s="8">
        <f t="shared" si="31"/>
        <v>0</v>
      </c>
      <c r="BB53" s="22">
        <f>AY53+AW53+AU53+AS53+AQ53+AO53+AM53+AK53+AI53+AG53+AE53+AC53+AA53+Y53+W53+U53+S53+Q53+O53+M53+K53</f>
        <v>5</v>
      </c>
      <c r="BC53">
        <f>$BB53*D53</f>
        <v>0</v>
      </c>
      <c r="BD53">
        <f>BB53*F53</f>
        <v>5</v>
      </c>
      <c r="BE53">
        <f>BD53*G53</f>
        <v>0</v>
      </c>
      <c r="BF53" s="22">
        <f>$BB53*E53</f>
        <v>0</v>
      </c>
      <c r="BG53" s="22">
        <f>$BB53*H53</f>
        <v>0</v>
      </c>
    </row>
    <row r="54" spans="1:59">
      <c r="A54" s="8"/>
      <c r="B54" s="9">
        <v>11</v>
      </c>
      <c r="C54" s="10" t="s">
        <v>54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</row>
    <row r="55" spans="1:59">
      <c r="A55" s="8"/>
      <c r="B55" s="8"/>
      <c r="C55" s="28" t="s">
        <v>55</v>
      </c>
      <c r="D55" s="15">
        <v>0</v>
      </c>
      <c r="E55" s="15">
        <v>0</v>
      </c>
      <c r="F55" s="15">
        <v>1</v>
      </c>
      <c r="G55" s="15">
        <v>0</v>
      </c>
      <c r="H55" s="15">
        <v>0</v>
      </c>
      <c r="I55" s="31">
        <v>8</v>
      </c>
      <c r="J55">
        <f t="shared" si="41"/>
        <v>8</v>
      </c>
      <c r="K55">
        <v>0</v>
      </c>
      <c r="L55">
        <f t="shared" si="4"/>
        <v>8</v>
      </c>
      <c r="M55">
        <v>0</v>
      </c>
      <c r="N55">
        <f t="shared" ref="N55:N56" si="45">L55-M55</f>
        <v>8</v>
      </c>
      <c r="O55">
        <v>0</v>
      </c>
      <c r="P55">
        <f t="shared" si="13"/>
        <v>8</v>
      </c>
      <c r="Q55">
        <v>0</v>
      </c>
      <c r="R55">
        <f t="shared" si="14"/>
        <v>8</v>
      </c>
      <c r="S55">
        <v>0</v>
      </c>
      <c r="T55">
        <f t="shared" si="15"/>
        <v>8</v>
      </c>
      <c r="U55">
        <v>0</v>
      </c>
      <c r="V55">
        <f t="shared" si="16"/>
        <v>8</v>
      </c>
      <c r="W55">
        <v>0</v>
      </c>
      <c r="X55">
        <f t="shared" si="17"/>
        <v>8</v>
      </c>
      <c r="Y55">
        <v>0</v>
      </c>
      <c r="Z55">
        <f t="shared" si="18"/>
        <v>8</v>
      </c>
      <c r="AA55">
        <v>0</v>
      </c>
      <c r="AB55">
        <f t="shared" si="19"/>
        <v>8</v>
      </c>
      <c r="AC55">
        <v>0</v>
      </c>
      <c r="AD55">
        <f t="shared" si="20"/>
        <v>8</v>
      </c>
      <c r="AE55">
        <v>0</v>
      </c>
      <c r="AF55">
        <f t="shared" si="21"/>
        <v>8</v>
      </c>
      <c r="AG55">
        <v>0</v>
      </c>
      <c r="AH55">
        <f t="shared" si="22"/>
        <v>8</v>
      </c>
      <c r="AI55">
        <v>0</v>
      </c>
      <c r="AJ55">
        <f t="shared" si="23"/>
        <v>8</v>
      </c>
      <c r="AK55">
        <v>0</v>
      </c>
      <c r="AL55">
        <f t="shared" si="24"/>
        <v>8</v>
      </c>
      <c r="AM55">
        <v>3</v>
      </c>
      <c r="AN55">
        <f t="shared" si="25"/>
        <v>5</v>
      </c>
      <c r="AO55">
        <v>3</v>
      </c>
      <c r="AP55">
        <f>AN55-AO55</f>
        <v>2</v>
      </c>
      <c r="AQ55">
        <v>0</v>
      </c>
      <c r="AR55">
        <f t="shared" si="27"/>
        <v>2</v>
      </c>
      <c r="AS55">
        <v>0</v>
      </c>
      <c r="AT55">
        <f t="shared" si="28"/>
        <v>2</v>
      </c>
      <c r="AU55">
        <v>0</v>
      </c>
      <c r="AV55">
        <f t="shared" si="29"/>
        <v>2</v>
      </c>
      <c r="AW55">
        <v>0</v>
      </c>
      <c r="AX55">
        <f t="shared" si="30"/>
        <v>2</v>
      </c>
      <c r="AY55">
        <v>0</v>
      </c>
      <c r="AZ55" s="8">
        <f t="shared" si="31"/>
        <v>2</v>
      </c>
      <c r="BB55" s="22">
        <f t="shared" si="34"/>
        <v>6</v>
      </c>
      <c r="BC55">
        <f t="shared" si="39"/>
        <v>0</v>
      </c>
      <c r="BD55">
        <f>BB55*F55</f>
        <v>6</v>
      </c>
      <c r="BE55">
        <f t="shared" ref="BE55:BE57" si="46">BD55*G55</f>
        <v>0</v>
      </c>
      <c r="BF55" s="22">
        <f t="shared" si="40"/>
        <v>0</v>
      </c>
      <c r="BG55" s="22">
        <f t="shared" si="42"/>
        <v>0</v>
      </c>
    </row>
    <row r="56" spans="1:59">
      <c r="A56" s="8"/>
      <c r="B56" s="8"/>
      <c r="C56" s="28" t="s">
        <v>56</v>
      </c>
      <c r="D56" s="15">
        <v>0</v>
      </c>
      <c r="E56" s="15">
        <v>0</v>
      </c>
      <c r="F56" s="15">
        <v>1</v>
      </c>
      <c r="G56" s="15">
        <v>0</v>
      </c>
      <c r="H56" s="15">
        <v>0</v>
      </c>
      <c r="I56" s="31">
        <v>3</v>
      </c>
      <c r="J56">
        <v>1</v>
      </c>
      <c r="K56">
        <v>0</v>
      </c>
      <c r="L56">
        <f t="shared" si="4"/>
        <v>1</v>
      </c>
      <c r="M56">
        <v>0</v>
      </c>
      <c r="N56">
        <f t="shared" si="45"/>
        <v>1</v>
      </c>
      <c r="O56">
        <v>0</v>
      </c>
      <c r="P56">
        <f t="shared" si="13"/>
        <v>1</v>
      </c>
      <c r="Q56">
        <v>0</v>
      </c>
      <c r="R56">
        <f t="shared" si="14"/>
        <v>1</v>
      </c>
      <c r="S56">
        <v>0</v>
      </c>
      <c r="T56">
        <f t="shared" si="15"/>
        <v>1</v>
      </c>
      <c r="U56">
        <v>0</v>
      </c>
      <c r="V56">
        <f t="shared" si="16"/>
        <v>1</v>
      </c>
      <c r="W56">
        <v>0</v>
      </c>
      <c r="X56">
        <f t="shared" si="17"/>
        <v>1</v>
      </c>
      <c r="Y56">
        <v>0</v>
      </c>
      <c r="Z56">
        <f t="shared" si="18"/>
        <v>1</v>
      </c>
      <c r="AA56">
        <v>0</v>
      </c>
      <c r="AB56">
        <f t="shared" si="19"/>
        <v>1</v>
      </c>
      <c r="AC56">
        <v>0</v>
      </c>
      <c r="AD56">
        <f t="shared" si="20"/>
        <v>1</v>
      </c>
      <c r="AE56">
        <v>0</v>
      </c>
      <c r="AF56">
        <f t="shared" si="21"/>
        <v>1</v>
      </c>
      <c r="AG56">
        <v>0</v>
      </c>
      <c r="AH56">
        <f t="shared" si="22"/>
        <v>1</v>
      </c>
      <c r="AI56">
        <v>0</v>
      </c>
      <c r="AJ56">
        <f t="shared" si="23"/>
        <v>1</v>
      </c>
      <c r="AK56">
        <v>0</v>
      </c>
      <c r="AL56">
        <f t="shared" si="24"/>
        <v>1</v>
      </c>
      <c r="AM56">
        <v>0</v>
      </c>
      <c r="AN56">
        <f t="shared" si="25"/>
        <v>1</v>
      </c>
      <c r="AO56">
        <v>0</v>
      </c>
      <c r="AP56">
        <f t="shared" si="26"/>
        <v>1</v>
      </c>
      <c r="AQ56">
        <v>0</v>
      </c>
      <c r="AR56">
        <f t="shared" si="27"/>
        <v>1</v>
      </c>
      <c r="AS56">
        <v>0</v>
      </c>
      <c r="AT56">
        <f t="shared" si="28"/>
        <v>1</v>
      </c>
      <c r="AU56">
        <v>0</v>
      </c>
      <c r="AV56">
        <f t="shared" si="29"/>
        <v>1</v>
      </c>
      <c r="AW56">
        <v>0</v>
      </c>
      <c r="AX56">
        <f t="shared" si="30"/>
        <v>1</v>
      </c>
      <c r="AY56">
        <v>0</v>
      </c>
      <c r="AZ56" s="8">
        <f t="shared" si="31"/>
        <v>1</v>
      </c>
      <c r="BB56" s="22">
        <f t="shared" si="34"/>
        <v>0</v>
      </c>
      <c r="BC56">
        <f t="shared" si="39"/>
        <v>0</v>
      </c>
      <c r="BD56">
        <f>BB56*F56</f>
        <v>0</v>
      </c>
      <c r="BE56">
        <f t="shared" si="46"/>
        <v>0</v>
      </c>
      <c r="BF56" s="22">
        <f t="shared" si="40"/>
        <v>0</v>
      </c>
      <c r="BG56" s="22">
        <f t="shared" si="42"/>
        <v>0</v>
      </c>
    </row>
    <row r="57" spans="1:59">
      <c r="A57" s="8"/>
      <c r="B57" s="8"/>
      <c r="C57" s="29" t="s">
        <v>57</v>
      </c>
      <c r="D57" s="15">
        <v>0</v>
      </c>
      <c r="E57" s="15">
        <v>0</v>
      </c>
      <c r="F57" s="15">
        <v>1</v>
      </c>
      <c r="G57" s="15">
        <v>0</v>
      </c>
      <c r="H57" s="15">
        <v>0</v>
      </c>
      <c r="I57" s="31">
        <v>3</v>
      </c>
      <c r="J57">
        <f>I57</f>
        <v>3</v>
      </c>
      <c r="K57">
        <v>0</v>
      </c>
      <c r="L57">
        <f>J57-K57</f>
        <v>3</v>
      </c>
      <c r="M57">
        <v>0</v>
      </c>
      <c r="N57">
        <f>L57-M57</f>
        <v>3</v>
      </c>
      <c r="O57">
        <v>0</v>
      </c>
      <c r="P57">
        <f t="shared" si="13"/>
        <v>3</v>
      </c>
      <c r="Q57">
        <v>0</v>
      </c>
      <c r="R57">
        <f t="shared" si="14"/>
        <v>3</v>
      </c>
      <c r="S57">
        <v>0</v>
      </c>
      <c r="T57">
        <f t="shared" si="15"/>
        <v>3</v>
      </c>
      <c r="U57">
        <v>0</v>
      </c>
      <c r="V57">
        <f t="shared" si="16"/>
        <v>3</v>
      </c>
      <c r="W57">
        <v>0</v>
      </c>
      <c r="X57">
        <f t="shared" si="17"/>
        <v>3</v>
      </c>
      <c r="Y57">
        <v>0</v>
      </c>
      <c r="Z57">
        <f t="shared" si="18"/>
        <v>3</v>
      </c>
      <c r="AA57">
        <v>0</v>
      </c>
      <c r="AB57">
        <f t="shared" si="19"/>
        <v>3</v>
      </c>
      <c r="AC57">
        <v>0</v>
      </c>
      <c r="AD57">
        <f t="shared" si="20"/>
        <v>3</v>
      </c>
      <c r="AE57">
        <v>0</v>
      </c>
      <c r="AF57">
        <f t="shared" si="21"/>
        <v>3</v>
      </c>
      <c r="AG57">
        <v>0</v>
      </c>
      <c r="AH57">
        <f t="shared" si="22"/>
        <v>3</v>
      </c>
      <c r="AI57">
        <v>0</v>
      </c>
      <c r="AJ57">
        <f t="shared" si="23"/>
        <v>3</v>
      </c>
      <c r="AK57">
        <v>0</v>
      </c>
      <c r="AL57">
        <f t="shared" si="24"/>
        <v>3</v>
      </c>
      <c r="AM57">
        <v>0</v>
      </c>
      <c r="AN57">
        <f t="shared" si="25"/>
        <v>3</v>
      </c>
      <c r="AO57">
        <v>0</v>
      </c>
      <c r="AP57">
        <f t="shared" si="26"/>
        <v>3</v>
      </c>
      <c r="AQ57">
        <v>0</v>
      </c>
      <c r="AR57">
        <f t="shared" si="27"/>
        <v>3</v>
      </c>
      <c r="AS57">
        <v>0</v>
      </c>
      <c r="AT57">
        <f t="shared" si="28"/>
        <v>3</v>
      </c>
      <c r="AU57">
        <v>0</v>
      </c>
      <c r="AV57">
        <f t="shared" si="29"/>
        <v>3</v>
      </c>
      <c r="AW57">
        <v>0</v>
      </c>
      <c r="AX57">
        <f t="shared" si="30"/>
        <v>3</v>
      </c>
      <c r="AY57">
        <v>0</v>
      </c>
      <c r="AZ57" s="8">
        <f t="shared" si="31"/>
        <v>3</v>
      </c>
      <c r="BB57" s="22">
        <f t="shared" si="34"/>
        <v>0</v>
      </c>
      <c r="BC57">
        <f t="shared" si="39"/>
        <v>0</v>
      </c>
      <c r="BD57">
        <f>BB57*F57</f>
        <v>0</v>
      </c>
      <c r="BE57">
        <f t="shared" si="46"/>
        <v>0</v>
      </c>
      <c r="BF57" s="22">
        <f t="shared" si="40"/>
        <v>0</v>
      </c>
      <c r="BG57" s="22">
        <f t="shared" si="42"/>
        <v>0</v>
      </c>
    </row>
    <row r="58" spans="1:59">
      <c r="A58" s="8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</row>
    <row r="59" spans="1:59">
      <c r="A59" s="8"/>
      <c r="B59" s="8"/>
      <c r="C59" s="28"/>
      <c r="D59" s="15">
        <v>0</v>
      </c>
      <c r="E59" s="15">
        <v>0</v>
      </c>
      <c r="F59" s="15">
        <v>0</v>
      </c>
      <c r="G59" s="15">
        <v>0</v>
      </c>
      <c r="H59" s="15">
        <v>0</v>
      </c>
      <c r="J59">
        <f>I59</f>
        <v>0</v>
      </c>
      <c r="L59">
        <f>J59-K59</f>
        <v>0</v>
      </c>
      <c r="N59">
        <f>L59-M59</f>
        <v>0</v>
      </c>
      <c r="P59">
        <f t="shared" si="13"/>
        <v>0</v>
      </c>
      <c r="R59">
        <f t="shared" si="14"/>
        <v>0</v>
      </c>
      <c r="T59">
        <f t="shared" si="15"/>
        <v>0</v>
      </c>
      <c r="V59">
        <f t="shared" si="16"/>
        <v>0</v>
      </c>
      <c r="X59">
        <f t="shared" si="17"/>
        <v>0</v>
      </c>
      <c r="Z59">
        <f t="shared" si="18"/>
        <v>0</v>
      </c>
      <c r="AB59">
        <f t="shared" si="19"/>
        <v>0</v>
      </c>
      <c r="AD59">
        <f t="shared" si="20"/>
        <v>0</v>
      </c>
      <c r="AF59">
        <f t="shared" si="21"/>
        <v>0</v>
      </c>
      <c r="AH59">
        <f t="shared" si="22"/>
        <v>0</v>
      </c>
      <c r="AJ59">
        <f t="shared" si="23"/>
        <v>0</v>
      </c>
      <c r="AL59">
        <f t="shared" si="24"/>
        <v>0</v>
      </c>
      <c r="AN59">
        <f t="shared" si="25"/>
        <v>0</v>
      </c>
      <c r="AP59">
        <f t="shared" si="26"/>
        <v>0</v>
      </c>
      <c r="AR59">
        <f t="shared" si="27"/>
        <v>0</v>
      </c>
      <c r="AT59">
        <f t="shared" si="28"/>
        <v>0</v>
      </c>
      <c r="AV59">
        <f t="shared" si="29"/>
        <v>0</v>
      </c>
      <c r="AX59">
        <f t="shared" si="30"/>
        <v>0</v>
      </c>
      <c r="AZ59" s="8">
        <f t="shared" si="31"/>
        <v>0</v>
      </c>
      <c r="BB59" s="22">
        <f t="shared" si="34"/>
        <v>0</v>
      </c>
      <c r="BC59">
        <f t="shared" si="39"/>
        <v>0</v>
      </c>
      <c r="BD59">
        <f t="shared" ref="BD59:BE61" si="47">BC59*F59</f>
        <v>0</v>
      </c>
      <c r="BE59">
        <f t="shared" si="47"/>
        <v>0</v>
      </c>
      <c r="BF59" s="22">
        <f t="shared" si="40"/>
        <v>0</v>
      </c>
      <c r="BG59" s="22">
        <f t="shared" si="42"/>
        <v>0</v>
      </c>
    </row>
    <row r="60" spans="1:59">
      <c r="A60" s="8"/>
      <c r="B60" s="8"/>
      <c r="C60" s="28"/>
      <c r="D60" s="15">
        <v>0</v>
      </c>
      <c r="E60" s="15">
        <v>0</v>
      </c>
      <c r="F60" s="15">
        <v>0</v>
      </c>
      <c r="G60" s="15">
        <v>0</v>
      </c>
      <c r="H60" s="15">
        <v>0</v>
      </c>
      <c r="J60">
        <f>I60</f>
        <v>0</v>
      </c>
      <c r="L60">
        <f>J60-K60</f>
        <v>0</v>
      </c>
      <c r="N60">
        <f>L60-M60</f>
        <v>0</v>
      </c>
      <c r="P60">
        <f t="shared" si="13"/>
        <v>0</v>
      </c>
      <c r="R60">
        <f t="shared" si="14"/>
        <v>0</v>
      </c>
      <c r="T60">
        <f t="shared" si="15"/>
        <v>0</v>
      </c>
      <c r="V60">
        <f t="shared" si="16"/>
        <v>0</v>
      </c>
      <c r="X60">
        <f t="shared" si="17"/>
        <v>0</v>
      </c>
      <c r="Z60">
        <f t="shared" si="18"/>
        <v>0</v>
      </c>
      <c r="AB60">
        <f t="shared" si="19"/>
        <v>0</v>
      </c>
      <c r="AD60">
        <f t="shared" si="20"/>
        <v>0</v>
      </c>
      <c r="AF60">
        <f t="shared" si="21"/>
        <v>0</v>
      </c>
      <c r="AH60">
        <f t="shared" si="22"/>
        <v>0</v>
      </c>
      <c r="AJ60">
        <f t="shared" si="23"/>
        <v>0</v>
      </c>
      <c r="AL60">
        <f t="shared" si="24"/>
        <v>0</v>
      </c>
      <c r="AN60">
        <f t="shared" si="25"/>
        <v>0</v>
      </c>
      <c r="AP60">
        <f t="shared" si="26"/>
        <v>0</v>
      </c>
      <c r="AR60">
        <f t="shared" si="27"/>
        <v>0</v>
      </c>
      <c r="AT60">
        <f t="shared" si="28"/>
        <v>0</v>
      </c>
      <c r="AV60">
        <f t="shared" si="29"/>
        <v>0</v>
      </c>
      <c r="AX60">
        <f t="shared" si="30"/>
        <v>0</v>
      </c>
      <c r="AZ60" s="8">
        <f t="shared" si="31"/>
        <v>0</v>
      </c>
      <c r="BB60" s="22">
        <f t="shared" si="34"/>
        <v>0</v>
      </c>
      <c r="BC60">
        <f t="shared" si="39"/>
        <v>0</v>
      </c>
      <c r="BD60">
        <f t="shared" si="47"/>
        <v>0</v>
      </c>
      <c r="BE60">
        <f t="shared" si="47"/>
        <v>0</v>
      </c>
      <c r="BF60" s="22">
        <f t="shared" si="40"/>
        <v>0</v>
      </c>
      <c r="BG60" s="22">
        <f t="shared" si="42"/>
        <v>0</v>
      </c>
    </row>
    <row r="61" spans="1:59">
      <c r="A61" s="8"/>
      <c r="B61" s="8"/>
      <c r="C61" s="29"/>
      <c r="D61" s="15">
        <v>0</v>
      </c>
      <c r="E61" s="15">
        <v>0</v>
      </c>
      <c r="F61" s="15">
        <v>0</v>
      </c>
      <c r="G61" s="15">
        <v>0</v>
      </c>
      <c r="H61" s="15">
        <v>0</v>
      </c>
      <c r="J61">
        <f>I61</f>
        <v>0</v>
      </c>
      <c r="L61">
        <f>J61-K61</f>
        <v>0</v>
      </c>
      <c r="N61">
        <f>L61-M61</f>
        <v>0</v>
      </c>
      <c r="P61">
        <f t="shared" si="13"/>
        <v>0</v>
      </c>
      <c r="R61">
        <f t="shared" si="14"/>
        <v>0</v>
      </c>
      <c r="T61">
        <f t="shared" si="15"/>
        <v>0</v>
      </c>
      <c r="V61">
        <f t="shared" si="16"/>
        <v>0</v>
      </c>
      <c r="X61">
        <f t="shared" si="17"/>
        <v>0</v>
      </c>
      <c r="Z61">
        <f t="shared" si="18"/>
        <v>0</v>
      </c>
      <c r="AB61">
        <f t="shared" si="19"/>
        <v>0</v>
      </c>
      <c r="AD61">
        <f t="shared" si="20"/>
        <v>0</v>
      </c>
      <c r="AF61">
        <f t="shared" si="21"/>
        <v>0</v>
      </c>
      <c r="AH61">
        <f t="shared" si="22"/>
        <v>0</v>
      </c>
      <c r="AJ61">
        <f t="shared" si="23"/>
        <v>0</v>
      </c>
      <c r="AL61">
        <f t="shared" si="24"/>
        <v>0</v>
      </c>
      <c r="AN61">
        <f t="shared" si="25"/>
        <v>0</v>
      </c>
      <c r="AP61">
        <f t="shared" si="26"/>
        <v>0</v>
      </c>
      <c r="AR61">
        <f t="shared" si="27"/>
        <v>0</v>
      </c>
      <c r="AT61">
        <f t="shared" si="28"/>
        <v>0</v>
      </c>
      <c r="AV61">
        <f t="shared" si="29"/>
        <v>0</v>
      </c>
      <c r="AX61">
        <f t="shared" si="30"/>
        <v>0</v>
      </c>
      <c r="AZ61" s="8">
        <f t="shared" si="31"/>
        <v>0</v>
      </c>
      <c r="BB61" s="22">
        <f t="shared" si="34"/>
        <v>0</v>
      </c>
      <c r="BC61">
        <f t="shared" si="39"/>
        <v>0</v>
      </c>
      <c r="BD61">
        <f t="shared" si="47"/>
        <v>0</v>
      </c>
      <c r="BE61">
        <f t="shared" si="47"/>
        <v>0</v>
      </c>
      <c r="BF61" s="22">
        <f t="shared" si="40"/>
        <v>0</v>
      </c>
      <c r="BG61" s="22">
        <f t="shared" si="42"/>
        <v>0</v>
      </c>
    </row>
    <row r="62" spans="1:59">
      <c r="A62" s="8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 spans="1:59">
      <c r="A63" s="8"/>
      <c r="B63" s="8"/>
      <c r="C63" s="28"/>
      <c r="D63" s="15">
        <v>0</v>
      </c>
      <c r="E63" s="15">
        <v>0</v>
      </c>
      <c r="F63" s="15">
        <v>0</v>
      </c>
      <c r="G63" s="15">
        <v>0</v>
      </c>
      <c r="H63" s="15">
        <v>0</v>
      </c>
      <c r="J63">
        <f>I63</f>
        <v>0</v>
      </c>
      <c r="L63">
        <f>J63-K63</f>
        <v>0</v>
      </c>
      <c r="N63">
        <f>L63-M63</f>
        <v>0</v>
      </c>
      <c r="P63">
        <f t="shared" si="13"/>
        <v>0</v>
      </c>
      <c r="R63">
        <f t="shared" si="14"/>
        <v>0</v>
      </c>
      <c r="T63">
        <f t="shared" si="15"/>
        <v>0</v>
      </c>
      <c r="V63">
        <f t="shared" si="16"/>
        <v>0</v>
      </c>
      <c r="X63">
        <f t="shared" si="17"/>
        <v>0</v>
      </c>
      <c r="Z63">
        <f t="shared" si="18"/>
        <v>0</v>
      </c>
      <c r="AB63">
        <f t="shared" si="19"/>
        <v>0</v>
      </c>
      <c r="AD63">
        <f t="shared" si="20"/>
        <v>0</v>
      </c>
      <c r="AF63">
        <f t="shared" si="21"/>
        <v>0</v>
      </c>
      <c r="AH63">
        <f t="shared" si="22"/>
        <v>0</v>
      </c>
      <c r="AJ63">
        <f t="shared" si="23"/>
        <v>0</v>
      </c>
      <c r="AL63">
        <f t="shared" si="24"/>
        <v>0</v>
      </c>
      <c r="AN63">
        <f t="shared" si="25"/>
        <v>0</v>
      </c>
      <c r="AP63">
        <f t="shared" si="26"/>
        <v>0</v>
      </c>
      <c r="AR63">
        <f t="shared" si="27"/>
        <v>0</v>
      </c>
      <c r="AT63">
        <f t="shared" si="28"/>
        <v>0</v>
      </c>
      <c r="AV63">
        <f t="shared" si="29"/>
        <v>0</v>
      </c>
      <c r="AX63">
        <f t="shared" si="30"/>
        <v>0</v>
      </c>
      <c r="AZ63" s="8">
        <f t="shared" si="31"/>
        <v>0</v>
      </c>
      <c r="BB63" s="22">
        <f t="shared" si="34"/>
        <v>0</v>
      </c>
      <c r="BC63">
        <f t="shared" si="39"/>
        <v>0</v>
      </c>
      <c r="BD63">
        <f t="shared" ref="BD63:BE65" si="48">BC63*F63</f>
        <v>0</v>
      </c>
      <c r="BE63">
        <f t="shared" si="48"/>
        <v>0</v>
      </c>
      <c r="BF63" s="22">
        <f t="shared" si="40"/>
        <v>0</v>
      </c>
      <c r="BG63" s="22">
        <f t="shared" si="42"/>
        <v>0</v>
      </c>
    </row>
    <row r="64" spans="1:59">
      <c r="A64" s="8"/>
      <c r="B64" s="8"/>
      <c r="C64" s="28"/>
      <c r="D64" s="15">
        <v>0</v>
      </c>
      <c r="E64" s="15">
        <v>0</v>
      </c>
      <c r="F64" s="15">
        <v>0</v>
      </c>
      <c r="G64" s="15">
        <v>0</v>
      </c>
      <c r="H64" s="15">
        <v>0</v>
      </c>
      <c r="J64">
        <f>I64</f>
        <v>0</v>
      </c>
      <c r="L64">
        <f>J64-K64</f>
        <v>0</v>
      </c>
      <c r="N64">
        <f>L64-M64</f>
        <v>0</v>
      </c>
      <c r="P64">
        <f t="shared" si="13"/>
        <v>0</v>
      </c>
      <c r="R64">
        <f t="shared" si="14"/>
        <v>0</v>
      </c>
      <c r="T64">
        <f t="shared" si="15"/>
        <v>0</v>
      </c>
      <c r="V64">
        <f t="shared" si="16"/>
        <v>0</v>
      </c>
      <c r="X64">
        <f t="shared" si="17"/>
        <v>0</v>
      </c>
      <c r="Z64">
        <f t="shared" si="18"/>
        <v>0</v>
      </c>
      <c r="AB64">
        <f t="shared" si="19"/>
        <v>0</v>
      </c>
      <c r="AD64">
        <f t="shared" si="20"/>
        <v>0</v>
      </c>
      <c r="AF64">
        <f t="shared" si="21"/>
        <v>0</v>
      </c>
      <c r="AH64">
        <f t="shared" si="22"/>
        <v>0</v>
      </c>
      <c r="AJ64">
        <f t="shared" si="23"/>
        <v>0</v>
      </c>
      <c r="AL64">
        <f t="shared" si="24"/>
        <v>0</v>
      </c>
      <c r="AN64">
        <f t="shared" si="25"/>
        <v>0</v>
      </c>
      <c r="AP64">
        <f t="shared" si="26"/>
        <v>0</v>
      </c>
      <c r="AR64">
        <f t="shared" si="27"/>
        <v>0</v>
      </c>
      <c r="AT64">
        <f t="shared" si="28"/>
        <v>0</v>
      </c>
      <c r="AV64">
        <f t="shared" si="29"/>
        <v>0</v>
      </c>
      <c r="AX64">
        <f t="shared" si="30"/>
        <v>0</v>
      </c>
      <c r="AZ64" s="8">
        <f t="shared" si="31"/>
        <v>0</v>
      </c>
      <c r="BB64" s="22">
        <f t="shared" si="34"/>
        <v>0</v>
      </c>
      <c r="BC64">
        <f t="shared" si="39"/>
        <v>0</v>
      </c>
      <c r="BD64">
        <f t="shared" si="48"/>
        <v>0</v>
      </c>
      <c r="BE64">
        <f t="shared" si="48"/>
        <v>0</v>
      </c>
      <c r="BF64" s="22">
        <f t="shared" si="40"/>
        <v>0</v>
      </c>
      <c r="BG64" s="22">
        <f t="shared" si="42"/>
        <v>0</v>
      </c>
    </row>
    <row r="65" spans="1:59">
      <c r="A65" s="8"/>
      <c r="B65" s="8"/>
      <c r="C65" s="29"/>
      <c r="D65" s="15">
        <v>0</v>
      </c>
      <c r="E65" s="15">
        <v>0</v>
      </c>
      <c r="F65" s="15">
        <v>0</v>
      </c>
      <c r="G65" s="15">
        <v>0</v>
      </c>
      <c r="H65" s="15">
        <v>0</v>
      </c>
      <c r="J65">
        <f>I65</f>
        <v>0</v>
      </c>
      <c r="L65">
        <f>J65-K65</f>
        <v>0</v>
      </c>
      <c r="N65">
        <f>L65-M65</f>
        <v>0</v>
      </c>
      <c r="P65">
        <f t="shared" si="13"/>
        <v>0</v>
      </c>
      <c r="R65">
        <f t="shared" si="14"/>
        <v>0</v>
      </c>
      <c r="T65">
        <f t="shared" si="15"/>
        <v>0</v>
      </c>
      <c r="V65">
        <f t="shared" si="16"/>
        <v>0</v>
      </c>
      <c r="X65">
        <f t="shared" si="17"/>
        <v>0</v>
      </c>
      <c r="Z65">
        <f t="shared" si="18"/>
        <v>0</v>
      </c>
      <c r="AB65">
        <f t="shared" si="19"/>
        <v>0</v>
      </c>
      <c r="AD65">
        <f t="shared" si="20"/>
        <v>0</v>
      </c>
      <c r="AF65">
        <f t="shared" si="21"/>
        <v>0</v>
      </c>
      <c r="AH65">
        <f t="shared" si="22"/>
        <v>0</v>
      </c>
      <c r="AJ65">
        <f t="shared" si="23"/>
        <v>0</v>
      </c>
      <c r="AL65">
        <f t="shared" si="24"/>
        <v>0</v>
      </c>
      <c r="AN65">
        <f t="shared" si="25"/>
        <v>0</v>
      </c>
      <c r="AP65">
        <f t="shared" si="26"/>
        <v>0</v>
      </c>
      <c r="AR65">
        <f t="shared" si="27"/>
        <v>0</v>
      </c>
      <c r="AT65">
        <f t="shared" si="28"/>
        <v>0</v>
      </c>
      <c r="AV65">
        <f t="shared" si="29"/>
        <v>0</v>
      </c>
      <c r="AX65">
        <f t="shared" si="30"/>
        <v>0</v>
      </c>
      <c r="AZ65" s="8">
        <f t="shared" si="31"/>
        <v>0</v>
      </c>
      <c r="BB65" s="22">
        <f t="shared" si="34"/>
        <v>0</v>
      </c>
      <c r="BC65">
        <f t="shared" si="39"/>
        <v>0</v>
      </c>
      <c r="BD65">
        <f t="shared" si="48"/>
        <v>0</v>
      </c>
      <c r="BE65">
        <f t="shared" si="48"/>
        <v>0</v>
      </c>
      <c r="BF65" s="22">
        <f t="shared" si="40"/>
        <v>0</v>
      </c>
      <c r="BG65" s="22">
        <f t="shared" si="42"/>
        <v>0</v>
      </c>
    </row>
  </sheetData>
  <mergeCells count="26">
    <mergeCell ref="BB8:BB9"/>
    <mergeCell ref="BC8:BG8"/>
    <mergeCell ref="AJ9:AK9"/>
    <mergeCell ref="B8:B10"/>
    <mergeCell ref="I8:AY8"/>
    <mergeCell ref="J9:K9"/>
    <mergeCell ref="L9:M9"/>
    <mergeCell ref="N9:O9"/>
    <mergeCell ref="P9:Q9"/>
    <mergeCell ref="R9:S9"/>
    <mergeCell ref="T9:U9"/>
    <mergeCell ref="V9:W9"/>
    <mergeCell ref="X9:Y9"/>
    <mergeCell ref="D8:H9"/>
    <mergeCell ref="Z9:AA9"/>
    <mergeCell ref="AB9:AC9"/>
    <mergeCell ref="AD9:AE9"/>
    <mergeCell ref="AF9:AG9"/>
    <mergeCell ref="AH9:AI9"/>
    <mergeCell ref="AX9:AY9"/>
    <mergeCell ref="AL9:AM9"/>
    <mergeCell ref="AN9:AO9"/>
    <mergeCell ref="AP9:AQ9"/>
    <mergeCell ref="AR9:AS9"/>
    <mergeCell ref="AT9:AU9"/>
    <mergeCell ref="AV9:AW9"/>
  </mergeCells>
  <pageMargins left="0.74803149606299213" right="0.74803149606299213" top="1.2795275590551181" bottom="1.2795275590551181" header="0.98385826771653528" footer="0.98385826771653528"/>
  <pageSetup paperSize="0" fitToWidth="0" fitToHeight="0" pageOrder="overThenDown" orientation="landscape" horizontalDpi="0" verticalDpi="0" copies="0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925D-A942-A14E-8E9E-B04E113AE527}">
  <dimension ref="A1:D6"/>
  <sheetViews>
    <sheetView workbookViewId="0">
      <selection activeCell="C21" sqref="C21"/>
    </sheetView>
  </sheetViews>
  <sheetFormatPr defaultColWidth="11.5546875" defaultRowHeight="15"/>
  <cols>
    <col min="3" max="3" width="35.88671875" customWidth="1"/>
  </cols>
  <sheetData>
    <row r="1" spans="1:4">
      <c r="A1" t="s">
        <v>58</v>
      </c>
      <c r="B1" t="s">
        <v>59</v>
      </c>
      <c r="C1" t="s">
        <v>60</v>
      </c>
      <c r="D1" t="s">
        <v>61</v>
      </c>
    </row>
    <row r="2" spans="1:4">
      <c r="A2" t="s">
        <v>62</v>
      </c>
      <c r="B2" t="s">
        <v>63</v>
      </c>
      <c r="C2" s="26" t="s">
        <v>64</v>
      </c>
      <c r="D2" t="str">
        <f>A2</f>
        <v>Oryna</v>
      </c>
    </row>
    <row r="3" spans="1:4">
      <c r="A3" t="s">
        <v>65</v>
      </c>
      <c r="B3" t="s">
        <v>66</v>
      </c>
      <c r="C3" s="26" t="s">
        <v>67</v>
      </c>
      <c r="D3" t="str">
        <f>A3</f>
        <v>Aziz</v>
      </c>
    </row>
    <row r="4" spans="1:4" ht="26.45">
      <c r="A4" t="s">
        <v>68</v>
      </c>
      <c r="B4" t="s">
        <v>69</v>
      </c>
      <c r="C4" s="25" t="s">
        <v>70</v>
      </c>
      <c r="D4" t="str">
        <f>A4</f>
        <v>Joana</v>
      </c>
    </row>
    <row r="5" spans="1:4" ht="15.6">
      <c r="A5" t="s">
        <v>71</v>
      </c>
      <c r="B5" s="24" t="s">
        <v>72</v>
      </c>
      <c r="C5" s="26" t="s">
        <v>73</v>
      </c>
      <c r="D5" t="str">
        <f>A5</f>
        <v>Kenny</v>
      </c>
    </row>
    <row r="6" spans="1:4">
      <c r="A6" t="s">
        <v>74</v>
      </c>
      <c r="B6" t="s">
        <v>75</v>
      </c>
      <c r="C6" s="26" t="s">
        <v>73</v>
      </c>
      <c r="D6" t="str">
        <f>A6</f>
        <v>Romuald</v>
      </c>
    </row>
  </sheetData>
  <hyperlinks>
    <hyperlink ref="C4" r:id="rId1" xr:uid="{E7EF9946-0298-4347-8A76-B8924A00D060}"/>
    <hyperlink ref="C5" r:id="rId2" xr:uid="{3422EB30-62BF-43D8-AD60-DD92AD767293}"/>
    <hyperlink ref="C6" r:id="rId3" xr:uid="{99A77FCC-C365-4DD8-B110-E56F2727D961}"/>
    <hyperlink ref="C3" r:id="rId4" xr:uid="{65264255-0AAC-4E46-853B-A415811531D5}"/>
    <hyperlink ref="C2" r:id="rId5" xr:uid="{D8AC5C4C-09D5-41EB-BF60-9D7930C740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ad6d5a-a3f0-41ac-bc36-6c6da6294d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9A8D12096ED46A3790937988D24A3" ma:contentTypeVersion="14" ma:contentTypeDescription="Crée un document." ma:contentTypeScope="" ma:versionID="9339575d6199450f101934d89b2e57ff">
  <xsd:schema xmlns:xsd="http://www.w3.org/2001/XMLSchema" xmlns:xs="http://www.w3.org/2001/XMLSchema" xmlns:p="http://schemas.microsoft.com/office/2006/metadata/properties" xmlns:ns3="e7ad6d5a-a3f0-41ac-bc36-6c6da6294d16" xmlns:ns4="b8f228c5-dda9-4f34-945f-47e9c86a8caf" targetNamespace="http://schemas.microsoft.com/office/2006/metadata/properties" ma:root="true" ma:fieldsID="6c5822c7ab44f90a0108b93fcf8a67b8" ns3:_="" ns4:_="">
    <xsd:import namespace="e7ad6d5a-a3f0-41ac-bc36-6c6da6294d16"/>
    <xsd:import namespace="b8f228c5-dda9-4f34-945f-47e9c86a8c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d6d5a-a3f0-41ac-bc36-6c6da6294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228c5-dda9-4f34-945f-47e9c86a8ca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779AB-3C0C-4FFE-B8C3-07CDFEE5A790}"/>
</file>

<file path=customXml/itemProps2.xml><?xml version="1.0" encoding="utf-8"?>
<ds:datastoreItem xmlns:ds="http://schemas.openxmlformats.org/officeDocument/2006/customXml" ds:itemID="{D212E635-7778-412F-820D-BF6A4DC6BD8E}"/>
</file>

<file path=customXml/itemProps3.xml><?xml version="1.0" encoding="utf-8"?>
<ds:datastoreItem xmlns:ds="http://schemas.openxmlformats.org/officeDocument/2006/customXml" ds:itemID="{6F887B95-FAE6-4695-8C4D-F3512D12A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Marchenko Artem</dc:creator>
  <cp:keywords/>
  <dc:description/>
  <cp:lastModifiedBy/>
  <cp:revision>14</cp:revision>
  <dcterms:created xsi:type="dcterms:W3CDTF">2007-09-27T13:30:44Z</dcterms:created>
  <dcterms:modified xsi:type="dcterms:W3CDTF">2025-11-10T04:08:22Z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0x010100C429A8D12096ED46A3790937988D24A3</vt:lpwstr>
  </property>
</Properties>
</file>