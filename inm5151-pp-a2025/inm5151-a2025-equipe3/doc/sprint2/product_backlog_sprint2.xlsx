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filterPrivacy="1" defaultThemeVersion="124226"/>
  <xr:revisionPtr revIDLastSave="0" documentId="8_{B6D8FE4A-6041-49C2-8DD1-09559CDF368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A7" i="1"/>
  <c r="J29" i="1"/>
  <c r="J10" i="1"/>
  <c r="J13" i="1"/>
  <c r="K16" i="1"/>
  <c r="K14" i="1"/>
  <c r="K7" i="1"/>
  <c r="K6" i="1"/>
  <c r="J17" i="1"/>
  <c r="J18" i="1"/>
  <c r="J19" i="1"/>
  <c r="J20" i="1"/>
  <c r="J21" i="1"/>
  <c r="J22" i="1"/>
  <c r="J23" i="1"/>
  <c r="J24" i="1"/>
  <c r="J25" i="1"/>
  <c r="J27" i="1"/>
  <c r="J28" i="1"/>
  <c r="J30" i="1"/>
  <c r="J31" i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8" i="1"/>
  <c r="J9" i="1"/>
  <c r="J14" i="1"/>
  <c r="J7" i="1"/>
  <c r="J6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</calcChain>
</file>

<file path=xl/sharedStrings.xml><?xml version="1.0" encoding="utf-8"?>
<sst xmlns="http://schemas.openxmlformats.org/spreadsheetml/2006/main" count="170" uniqueCount="123">
  <si>
    <t>Backlog pour le produit UNICAL</t>
  </si>
  <si>
    <t>Date: 9 Novembre</t>
  </si>
  <si>
    <t>Numéro</t>
  </si>
  <si>
    <t>Type</t>
  </si>
  <si>
    <t>Description</t>
  </si>
  <si>
    <t>Complétion</t>
  </si>
  <si>
    <t>Dépendance</t>
  </si>
  <si>
    <t>Priorité</t>
  </si>
  <si>
    <t>Sprint</t>
  </si>
  <si>
    <t>Estimation initiale (heures)</t>
  </si>
  <si>
    <t>Temps écoulé à date (heure)</t>
  </si>
  <si>
    <t>Estimation temps à complétion</t>
  </si>
  <si>
    <t>Coût réel (heures)</t>
  </si>
  <si>
    <t>Statut</t>
  </si>
  <si>
    <r>
      <rPr>
        <sz val="11"/>
        <color rgb="FF000000"/>
        <rFont val="Calibri"/>
        <scheme val="minor"/>
      </rPr>
      <t xml:space="preserve">Fonctionnalité : </t>
    </r>
    <r>
      <rPr>
        <sz val="11"/>
        <color rgb="FFC00000"/>
        <rFont val="Calibri"/>
        <scheme val="minor"/>
      </rPr>
      <t>Authentification</t>
    </r>
  </si>
  <si>
    <t xml:space="preserve">Authentification utilisateur : Cette issue décrit une fonctionnalité de base du système, permettant la connexion, la réinitialisation du mot de passe et la déconnexion. Elle correpond à une user story (l'utilisateur veut se connecter, réinitialiser son mot de passe, ou se déconnecter) </t>
  </si>
  <si>
    <t>Utilisateur reussit de se connecter correctement, en utilisant son mot de passe et courriel</t>
  </si>
  <si>
    <t>1</t>
  </si>
  <si>
    <t>complété</t>
  </si>
  <si>
    <r>
      <rPr>
        <sz val="11"/>
        <color rgb="FF000000"/>
        <rFont val="Calibri"/>
        <scheme val="minor"/>
      </rPr>
      <t xml:space="preserve"> Fonctionnalité : </t>
    </r>
    <r>
      <rPr>
        <sz val="11"/>
        <color rgb="FFFF0000"/>
        <rFont val="Calibri"/>
        <scheme val="minor"/>
      </rPr>
      <t>Création du profil</t>
    </r>
  </si>
  <si>
    <t>Création du profil : à la première utilisation, création d'un profil avec horaires, informations sur les finances, faire les changements dans son profil au besoin</t>
  </si>
  <si>
    <t xml:space="preserve">Utilisater reussit de modifier son profil : en joutant, enlevant ou modifiant les informations </t>
  </si>
  <si>
    <t>en cours - bloqué</t>
  </si>
  <si>
    <r>
      <rPr>
        <sz val="11"/>
        <color rgb="FF000000"/>
        <rFont val="Calibri"/>
        <scheme val="minor"/>
      </rPr>
      <t xml:space="preserve">Fonctionnalité : </t>
    </r>
    <r>
      <rPr>
        <sz val="11"/>
        <color rgb="FFFF0000"/>
        <rFont val="Calibri"/>
        <scheme val="minor"/>
      </rPr>
      <t>gestion horaire cours</t>
    </r>
  </si>
  <si>
    <t>Permettre à l’utilisateur d’ajouter un cours à son emploi du temps et l'afficher.</t>
  </si>
  <si>
    <t>Le système doit permettre à l’utilisateur d’ajouter un cours à son emploi du temps personnel, en précisant toutes les informations nécessaires.</t>
  </si>
  <si>
    <r>
      <rPr>
        <sz val="11"/>
        <color rgb="FF242424"/>
        <rFont val="Aptos Narrow"/>
      </rPr>
      <t xml:space="preserve">Fonctionnalité : </t>
    </r>
    <r>
      <rPr>
        <sz val="11"/>
        <color rgb="FFFF0000"/>
        <rFont val="Aptos Narrow"/>
      </rPr>
      <t>gestion seuil de passage</t>
    </r>
  </si>
  <si>
    <t>Permettre de définir un pourcentage de passage à un cours</t>
  </si>
  <si>
    <r>
      <t xml:space="preserve">Le système doit permettre à l’utilisateur de définir un </t>
    </r>
    <r>
      <rPr>
        <b/>
        <sz val="11"/>
        <color theme="1"/>
        <rFont val="Calibri"/>
        <family val="2"/>
        <scheme val="minor"/>
      </rPr>
      <t>seuil de passage</t>
    </r>
    <r>
      <rPr>
        <sz val="11"/>
        <color theme="1"/>
        <rFont val="Calibri"/>
        <family val="2"/>
        <scheme val="minor"/>
      </rPr>
      <t xml:space="preserve"> (note minimale pour réussir le cours) pour chaque cours ajouté.</t>
    </r>
  </si>
  <si>
    <r>
      <rPr>
        <sz val="11"/>
        <color rgb="FF000000"/>
        <rFont val="Calibri"/>
        <scheme val="minor"/>
      </rPr>
      <t xml:space="preserve">Fonctionnalité : </t>
    </r>
    <r>
      <rPr>
        <sz val="11"/>
        <color rgb="FFFF0000"/>
        <rFont val="Calibri"/>
        <scheme val="minor"/>
      </rPr>
      <t>gestion cours existant</t>
    </r>
  </si>
  <si>
    <t>Permettre d’éditer ou de supprimer un cours</t>
  </si>
  <si>
    <t>Le système doit permettre à l’utilisateur de modifier les informations d’un cours déjà ajouté ou de le supprimer complètement de son emploi du temps.</t>
  </si>
  <si>
    <t>Fonctionnalité : Entrée les échéances</t>
  </si>
  <si>
    <t>Entrée échéances : Elle permet à l'utilisateur d'entrer ses dates d'évaluations(examens, quizs), dates de paiements, dates de remise de TPs entre autres</t>
  </si>
  <si>
    <t>Complété lorsque les échéances entrées par l'utilisateur, sont ajoutées avec succès dans la base de données (visible dans l'appli et dans supabase)</t>
  </si>
  <si>
    <t>Fonctionnalité : modification des échéances</t>
  </si>
  <si>
    <t>Modification échéances: Permet à l'utilisateur de modifier les informations mentionnées au 6 plus haut, notamment en les supprimant ou éditant</t>
  </si>
  <si>
    <t>Complété lorsque les échéances déjà ajoutées par l'utilisateur sont supprimables ou modifiables sans erreur après action de l'utilisateur (visible dans l'appli et dans supabase)</t>
  </si>
  <si>
    <t>Fonctionnalité : vue calendrier</t>
  </si>
  <si>
    <t xml:space="preserve">Vue calendrier hebdomadaire : Affchage des examens, quiz, paiement à travers une globale du calendrier </t>
  </si>
  <si>
    <t>Complétée lorsque l’affichage des examens, quiz et paiements apparaîtra correctement dans la vue hebdomadaire et aura été validé par des tests fonctionnels auprès d’utilisateurs.</t>
  </si>
  <si>
    <t xml:space="preserve">en cours </t>
  </si>
  <si>
    <t>Feature : personnalisation calendrier</t>
  </si>
  <si>
    <t>Ajout de la personnalisation du calendrier avec des couleurs au choix</t>
  </si>
  <si>
    <t>Complétée lorsque les utilisateurs pourront modifier les couleurs d’affichage de leurs événements et que le choix sera sauvegardé et restauré correctement lors des</t>
  </si>
  <si>
    <t>Fonctionnalité : notifications</t>
  </si>
  <si>
    <t>Mise en place de notification simples pour rappeler un événement à l'utilisateur</t>
  </si>
  <si>
    <t>complété lors que la création des notifications est possible et possible de tester directement dans l'application</t>
  </si>
  <si>
    <t>Feature : gestion des notifications</t>
  </si>
  <si>
    <t>Permettre à l'utilisateur de configurer ses préférences de notifications, comme la fréquence des rappels</t>
  </si>
  <si>
    <t xml:space="preserve">complété lors que la mise en place des notification est fait correctement, cela veut dire q'il y a des possiblité de gérer les notifications(ajouter, modifier ou supprimer). De plus, lors qu'il est possible de choisir la fréquences des notificaitions et cela sera visible directement </t>
  </si>
  <si>
    <t>2, 10</t>
  </si>
  <si>
    <t>Fonctionnalité : mise en place d'indice de la priorité</t>
  </si>
  <si>
    <t>Calculer un indice de priorité pour chaque événement en fonction de la pondération de l’évaluation (ex. : importance de l’événement) et des jours restants avant l’échéance.</t>
  </si>
  <si>
    <t>Complétéé lorsque les tests suivants seront reussits : test fonctionnel - indice de priorité calculé correctement, test d'interface utilisateur - afficahge correct du cote de l'utilisateur</t>
  </si>
  <si>
    <t>Feature : affichage de l'avancement</t>
  </si>
  <si>
    <t>Affichage en pourcentage de l’avancement du travail réalisé par rapport au travail restant</t>
  </si>
  <si>
    <t>Complétéé lors que la barre de pourcentage d'avancement du travail est visible et elle s'ajuste automtiquement selon les données qui seront disponible dans le calendrier</t>
  </si>
  <si>
    <t>non débuté</t>
  </si>
  <si>
    <t>Fonctionnalité: génération du bloc d'étude</t>
  </si>
  <si>
    <t>Générer automatiquement des blocs d’étude (25/45/60/90 min) dans les créneaux libres de l’emploi du temps.</t>
  </si>
  <si>
    <t xml:space="preserve">Complété lors qu'il sera possible de tester cette focntionnalité directement dans l'application en ajouter ou en modifiant le bloc d'étude </t>
  </si>
  <si>
    <t>Fonctionnalité : vu quotidienne</t>
  </si>
  <si>
    <t>Afficher une vue quotidienne avec la liste des tâches du jour et un bouton “Commencer” pour chaque tâche</t>
  </si>
  <si>
    <t>Complété lors q'il sera possible de tester directement en metant la session d'étude en marche et en validant si tout s'affiche correctement</t>
  </si>
  <si>
    <t>Fonctionnalité : gestion chronometre  session d'étude</t>
  </si>
  <si>
    <t>Permettre à l’utilisateur de définir une durée pour une session d’étude (ex. : 25 min).</t>
  </si>
  <si>
    <t>Complété lors qu'il sera possiblit de le teste directement dans les deux versions(mobile et web) afin de savoir si tout s'affiche correctement sans les erreurs</t>
  </si>
  <si>
    <t>Permettre à l’utilisateur de mettre en pause et reprendre le chronomètre d’une session d’étude</t>
  </si>
  <si>
    <t>Complété lors que la focntionne principale est dévélopper correctement, cela veut dire s'il est possible de mettre en pause sans perdre le progre d'étude</t>
  </si>
  <si>
    <t>Fonctionnalité: gestion chronometre</t>
  </si>
  <si>
    <t>Le chronomètre s’arrête automatiquement lorsque la durée allouée est écoulée.</t>
  </si>
  <si>
    <t>Le chronomètre doit s’arrêter automatiquement dès que la durée allouée à la session est entièrement écoulée, sans intervention de l’utilisateur.</t>
  </si>
  <si>
    <t>Fonctionnalité: notification lors la session d'étude</t>
  </si>
  <si>
    <t>À la fin du temps, afficher une notification avec deux options : arrêter la session ou prolonger (ex. : +5, +10, +15 min), avec un bouton personnalisé pour ajuster le temps</t>
  </si>
  <si>
    <t>À la fin du temps imparti, une notification s’affiche à l’utilisateur pour l’informer que la session est terminée. Cette notification propose plusieurs options d’action.</t>
  </si>
  <si>
    <t>Feature : % de progression avec le version graphique</t>
  </si>
  <si>
    <t xml:space="preserve">Implémentation du graphique de progression avec un pourcentage de complétion </t>
  </si>
  <si>
    <t>Validée lorsque le graphique affichera avec précision le pourcentage de complétion des tâches et que les résultats correspondront aux données enregistrées après audit.</t>
  </si>
  <si>
    <t>6,15</t>
  </si>
  <si>
    <t>Fonctionnalité : dépenses</t>
  </si>
  <si>
    <t>Permettre à l’utilisateur d’ajouter des revenus dans le module de gestion des revenus et dépenses.</t>
  </si>
  <si>
    <t>Le système doit permettre à l’utilisateur d’ajouter un ou plusieurs revenus dans le module de gestion financière.</t>
  </si>
  <si>
    <t>Fonctionnalité : gestion des dépenses</t>
  </si>
  <si>
    <t>Permettre d’éditer ou de supprimer des revenus.</t>
  </si>
  <si>
    <t>Le système doit permettre à l’utilisateur de modifier ou de supprimer un revenu existant.</t>
  </si>
  <si>
    <t>Fonctionnalité:gestion des dépenses partie 2</t>
  </si>
  <si>
    <t>Permettre d’ajouter des dépenses liées aux études (ex. : coût du trimestre)</t>
  </si>
  <si>
    <t>Le système doit permettre à l’utilisateur d’ajouter des dépenses spécifiques aux études, telles que le coût du trimestre, les manuels, les frais d’inscription, etc.</t>
  </si>
  <si>
    <t>Fonctionnalité : gestion des dépenses partie 3</t>
  </si>
  <si>
    <t>Permettre d’éditer ou de supprimer des dépenses</t>
  </si>
  <si>
    <t>Le système doit permettre à l’utilisateur de modifier ou de supprimer une dépense enregistrée.</t>
  </si>
  <si>
    <t>Fonctionnalité : tableau mensuel avec les dépenses</t>
  </si>
  <si>
    <t>Implémentation du tableau mensuel avec total revenus/dépenses dans le contexte du budget</t>
  </si>
  <si>
    <t>Complétée lorsque le tableau mensuel présentera les totaux de revenus et de dépenses exacts pour chaque mois et que les calculs auront été vérifiés par des tests de cohérence.</t>
  </si>
  <si>
    <t>21,23</t>
  </si>
  <si>
    <t>Feature : notification lors les dépenses</t>
  </si>
  <si>
    <t>Ajout de notification si budget dépensé est plus grand que le budget prévu</t>
  </si>
  <si>
    <t>Considérée comme respectée lorsque l’application enverra automatiquement une notification dès que les dépenses dépassent le budget prévu, confirmée par un test de scénario utilisateur.</t>
  </si>
  <si>
    <t>10,23,25</t>
  </si>
  <si>
    <t>Fonctionnalité</t>
  </si>
  <si>
    <t>Implémentation de l'analyse simple des finances par l'IA afin d'apporter des suggestions</t>
  </si>
  <si>
    <t>Validée lorsque l’IA pourra générer des suggestions pertinentes à partir des données financières simulées, et que la qualité des recommandations sera vérifiée lors d’un test d’évaluation.</t>
  </si>
  <si>
    <t>Feature</t>
  </si>
  <si>
    <t>Création du rapport englobant le pourcentage de complétion pour les études</t>
  </si>
  <si>
    <t>Complétée lorsque le rapport affichera correctement le pourcentage global de complétion des cours et tâches, vérifié par un audit de cohérence des données.</t>
  </si>
  <si>
    <t>Implémentation de la capacité de recommandation de gestion d'études pour les seesions à venir par l'IA</t>
  </si>
  <si>
    <t>Considérée comme complétée lorsque l’IA proposera des recommandations cohérentes basées sur les performances et la charge de travail passée, validées lors de tests fonctionnels supervisés.</t>
  </si>
  <si>
    <t>Ajuster les taches selon l’ordre de la priorité</t>
  </si>
  <si>
    <t>Recalculer les priorités si la tâche n’est pas exécutée au temps déterminé</t>
  </si>
  <si>
    <t>IA – Apprentissage adaptatif (sessions plus courtes/longues, blocs réduits si procrastination)</t>
  </si>
  <si>
    <t>Fonctionnalité : IA – Placement optimal intelligent des blocs (avec contraintes personnel)</t>
  </si>
  <si>
    <t>Optimiser blocs en tenant compte de contraintes personnel</t>
  </si>
  <si>
    <t>Ajouter les conseils ciblés</t>
  </si>
  <si>
    <t>Ajouter les notifications (POP UP) avec des mots d’encouragement</t>
  </si>
  <si>
    <t>Créations des petites questions de bien-être</t>
  </si>
  <si>
    <t>Fonctionnalité : IA – Analyse avancée des finances</t>
  </si>
  <si>
    <t>Suggestions selon la simple lecture du rapport budget-depenses</t>
  </si>
  <si>
    <t>21,22,23,24</t>
  </si>
  <si>
    <t>Rapport global avec % complétion pour les études</t>
  </si>
  <si>
    <t>Recommandations gestion études pour les sessions à venir</t>
  </si>
  <si>
    <t>Feature : Rapport global financier</t>
  </si>
  <si>
    <t>Feature : Recommandations pour la gestion des finances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</si>
</sst>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sz val="11"/>
      <color rgb="FFC00000"/>
      <name val="Calibri"/>
      <scheme val="minor"/>
    </font>
    <font>
      <sz val="11"/>
      <color rgb="FF242424"/>
      <name val="Aptos Narrow"/>
    </font>
    <font>
      <sz val="11"/>
      <color rgb="FFFF0000"/>
      <name val="Aptos Narrow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DF2AA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3">
    <xf numFmtId="0" fontId="0" fillId="0" borderId="0" xfId="0"/>
    <xf numFmtId="0" fontId="3" fillId="0" borderId="0" xfId="0" applyFont="1"/>
    <xf numFmtId="49" fontId="0" fillId="0" borderId="2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2" borderId="4" xfId="1" applyNumberFormat="1" applyFont="1" applyBorder="1" applyAlignment="1">
      <alignment horizontal="center" vertical="center" wrapText="1"/>
    </xf>
    <xf numFmtId="49" fontId="4" fillId="2" borderId="5" xfId="1" applyNumberFormat="1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9" fontId="0" fillId="7" borderId="2" xfId="0" applyNumberForma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1" xfId="0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49" fontId="4" fillId="9" borderId="3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9" defaultPivotStyle="PivotStyleLight16"/>
  <colors>
    <mruColors>
      <color rgb="FFADF2AA"/>
      <color rgb="FF0DFFEF"/>
      <color rgb="FFBF2B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5"/>
  <sheetViews>
    <sheetView tabSelected="1" topLeftCell="A4" zoomScale="60" zoomScaleNormal="70" workbookViewId="0">
      <pane ySplit="2" topLeftCell="A28" activePane="bottomLeft" state="frozen"/>
      <selection pane="bottomLeft" activeCell="N8" sqref="N8"/>
      <selection activeCell="A4" sqref="A4"/>
    </sheetView>
  </sheetViews>
  <sheetFormatPr defaultColWidth="8.85546875" defaultRowHeight="14.45"/>
  <cols>
    <col min="1" max="1" width="11.42578125" customWidth="1"/>
    <col min="2" max="2" width="18" style="6" customWidth="1"/>
    <col min="3" max="3" width="66.85546875" style="12" customWidth="1"/>
    <col min="4" max="4" width="27.42578125" style="12" customWidth="1"/>
    <col min="5" max="7" width="17.140625" customWidth="1"/>
    <col min="8" max="8" width="19.28515625" customWidth="1"/>
    <col min="9" max="9" width="19.28515625" style="5" customWidth="1"/>
    <col min="10" max="10" width="19.28515625" customWidth="1"/>
    <col min="11" max="11" width="19.140625" customWidth="1"/>
    <col min="12" max="12" width="15.28515625" customWidth="1"/>
  </cols>
  <sheetData>
    <row r="1" spans="1:12">
      <c r="D1" s="9"/>
    </row>
    <row r="2" spans="1:12" s="6" customFormat="1" ht="18" customHeight="1">
      <c r="D2" s="7"/>
      <c r="E2" s="7"/>
      <c r="F2" s="8"/>
      <c r="I2" s="9"/>
      <c r="J2" s="9"/>
      <c r="K2" s="9"/>
      <c r="L2" s="9"/>
    </row>
    <row r="3" spans="1:12">
      <c r="D3" s="28" t="s">
        <v>0</v>
      </c>
      <c r="E3" s="1"/>
    </row>
    <row r="4" spans="1:12">
      <c r="D4" s="12" t="s">
        <v>1</v>
      </c>
    </row>
    <row r="5" spans="1:12" s="12" customFormat="1" ht="28.9">
      <c r="A5" s="27" t="s">
        <v>2</v>
      </c>
      <c r="B5" s="13" t="s">
        <v>3</v>
      </c>
      <c r="C5" s="13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4" t="s">
        <v>13</v>
      </c>
    </row>
    <row r="6" spans="1:12" ht="75" customHeight="1">
      <c r="A6" s="26">
        <v>1</v>
      </c>
      <c r="B6" s="40" t="s">
        <v>14</v>
      </c>
      <c r="C6" s="2" t="s">
        <v>15</v>
      </c>
      <c r="D6" s="2" t="s">
        <v>16</v>
      </c>
      <c r="E6" s="2" t="s">
        <v>17</v>
      </c>
      <c r="F6" s="17">
        <v>1</v>
      </c>
      <c r="G6" s="18">
        <v>1</v>
      </c>
      <c r="H6" s="4">
        <v>16</v>
      </c>
      <c r="I6" s="3">
        <v>4</v>
      </c>
      <c r="J6" s="4">
        <f>H6-I6</f>
        <v>12</v>
      </c>
      <c r="K6" s="4">
        <f>8+8+7+5</f>
        <v>28</v>
      </c>
      <c r="L6" s="24" t="s">
        <v>18</v>
      </c>
    </row>
    <row r="7" spans="1:12" s="6" customFormat="1" ht="69.75" customHeight="1">
      <c r="A7" s="4">
        <f>A6+1</f>
        <v>2</v>
      </c>
      <c r="B7" s="41" t="s">
        <v>19</v>
      </c>
      <c r="C7" s="10" t="s">
        <v>20</v>
      </c>
      <c r="D7" s="32" t="s">
        <v>21</v>
      </c>
      <c r="E7" s="10">
        <v>1</v>
      </c>
      <c r="F7" s="10">
        <v>1</v>
      </c>
      <c r="G7" s="10">
        <v>1</v>
      </c>
      <c r="H7" s="10">
        <v>16</v>
      </c>
      <c r="I7" s="10">
        <v>0</v>
      </c>
      <c r="J7" s="4">
        <f>H7-I7</f>
        <v>16</v>
      </c>
      <c r="K7" s="4">
        <f>5+4+3+8</f>
        <v>20</v>
      </c>
      <c r="L7" s="25" t="s">
        <v>22</v>
      </c>
    </row>
    <row r="8" spans="1:12" s="6" customFormat="1" ht="72">
      <c r="A8" s="4">
        <f>A7+1</f>
        <v>3</v>
      </c>
      <c r="B8" s="40" t="s">
        <v>23</v>
      </c>
      <c r="C8" s="29" t="s">
        <v>24</v>
      </c>
      <c r="D8" s="33" t="s">
        <v>25</v>
      </c>
      <c r="E8" s="31">
        <v>2</v>
      </c>
      <c r="F8" s="10">
        <v>2</v>
      </c>
      <c r="G8" s="10">
        <v>1</v>
      </c>
      <c r="H8" s="10">
        <v>19</v>
      </c>
      <c r="I8" s="10">
        <v>16</v>
      </c>
      <c r="J8" s="4">
        <f t="shared" ref="J8:J43" si="0">H8-I8</f>
        <v>3</v>
      </c>
      <c r="K8" s="4">
        <v>16</v>
      </c>
      <c r="L8" s="24" t="s">
        <v>18</v>
      </c>
    </row>
    <row r="9" spans="1:12" s="12" customFormat="1" ht="75.75" customHeight="1">
      <c r="A9" s="26">
        <f t="shared" ref="A9:A24" si="1">A8+1</f>
        <v>4</v>
      </c>
      <c r="B9" s="23" t="s">
        <v>26</v>
      </c>
      <c r="C9" s="29" t="s">
        <v>27</v>
      </c>
      <c r="D9" s="33" t="s">
        <v>28</v>
      </c>
      <c r="E9" s="30">
        <v>3</v>
      </c>
      <c r="F9" s="11">
        <v>2</v>
      </c>
      <c r="G9" s="11">
        <v>1</v>
      </c>
      <c r="H9" s="11">
        <v>7</v>
      </c>
      <c r="I9" s="10">
        <v>4</v>
      </c>
      <c r="J9" s="4">
        <f t="shared" si="0"/>
        <v>3</v>
      </c>
      <c r="K9" s="4">
        <v>4</v>
      </c>
      <c r="L9" s="24" t="s">
        <v>18</v>
      </c>
    </row>
    <row r="10" spans="1:12" s="12" customFormat="1" ht="93.75" customHeight="1">
      <c r="A10" s="26">
        <f t="shared" si="1"/>
        <v>5</v>
      </c>
      <c r="B10" s="42" t="s">
        <v>29</v>
      </c>
      <c r="C10" s="29" t="s">
        <v>30</v>
      </c>
      <c r="D10" s="33" t="s">
        <v>31</v>
      </c>
      <c r="E10" s="30">
        <v>3</v>
      </c>
      <c r="F10" s="11">
        <v>2</v>
      </c>
      <c r="G10" s="11">
        <v>1</v>
      </c>
      <c r="H10" s="11">
        <v>6</v>
      </c>
      <c r="I10" s="10">
        <v>4</v>
      </c>
      <c r="J10" s="4">
        <f>H10-I10</f>
        <v>2</v>
      </c>
      <c r="K10" s="4">
        <v>4</v>
      </c>
      <c r="L10" s="24" t="s">
        <v>18</v>
      </c>
    </row>
    <row r="11" spans="1:12" s="12" customFormat="1" ht="90" customHeight="1">
      <c r="A11" s="26">
        <f t="shared" si="1"/>
        <v>6</v>
      </c>
      <c r="B11" s="10" t="s">
        <v>32</v>
      </c>
      <c r="C11" s="10" t="s">
        <v>33</v>
      </c>
      <c r="D11" s="18" t="s">
        <v>34</v>
      </c>
      <c r="E11" s="11">
        <v>2</v>
      </c>
      <c r="F11" s="11">
        <v>2</v>
      </c>
      <c r="G11" s="11">
        <v>1</v>
      </c>
      <c r="H11" s="11">
        <v>13</v>
      </c>
      <c r="I11" s="10">
        <v>13</v>
      </c>
      <c r="J11" s="4">
        <v>10</v>
      </c>
      <c r="K11" s="4">
        <v>26</v>
      </c>
      <c r="L11" s="24" t="s">
        <v>18</v>
      </c>
    </row>
    <row r="12" spans="1:12" s="12" customFormat="1" ht="107.25" customHeight="1">
      <c r="A12" s="26">
        <f t="shared" si="1"/>
        <v>7</v>
      </c>
      <c r="B12" s="10" t="s">
        <v>35</v>
      </c>
      <c r="C12" s="10" t="s">
        <v>36</v>
      </c>
      <c r="D12" s="10" t="s">
        <v>37</v>
      </c>
      <c r="E12" s="11">
        <v>6</v>
      </c>
      <c r="F12" s="11">
        <v>2</v>
      </c>
      <c r="G12" s="11">
        <v>1</v>
      </c>
      <c r="H12" s="11">
        <v>10</v>
      </c>
      <c r="I12" s="10">
        <v>10</v>
      </c>
      <c r="J12" s="4">
        <v>5</v>
      </c>
      <c r="K12" s="4">
        <v>15</v>
      </c>
      <c r="L12" s="24" t="s">
        <v>18</v>
      </c>
    </row>
    <row r="13" spans="1:12" s="12" customFormat="1" ht="133.5" customHeight="1">
      <c r="A13" s="26">
        <f t="shared" si="1"/>
        <v>8</v>
      </c>
      <c r="B13" s="10" t="s">
        <v>38</v>
      </c>
      <c r="C13" s="10" t="s">
        <v>39</v>
      </c>
      <c r="D13" s="34" t="s">
        <v>40</v>
      </c>
      <c r="E13" s="11">
        <v>6</v>
      </c>
      <c r="F13" s="11">
        <v>2</v>
      </c>
      <c r="G13" s="11">
        <v>1</v>
      </c>
      <c r="H13" s="11">
        <v>24</v>
      </c>
      <c r="I13" s="10">
        <v>26</v>
      </c>
      <c r="J13" s="4">
        <f>H13-I13</f>
        <v>-2</v>
      </c>
      <c r="K13" s="4">
        <v>26</v>
      </c>
      <c r="L13" s="24" t="s">
        <v>41</v>
      </c>
    </row>
    <row r="14" spans="1:12" s="12" customFormat="1" ht="118.5" customHeight="1">
      <c r="A14" s="26">
        <f t="shared" si="1"/>
        <v>9</v>
      </c>
      <c r="B14" s="10" t="s">
        <v>42</v>
      </c>
      <c r="C14" s="10" t="s">
        <v>43</v>
      </c>
      <c r="D14" s="34" t="s">
        <v>44</v>
      </c>
      <c r="E14" s="11">
        <v>8</v>
      </c>
      <c r="F14" s="11">
        <v>3</v>
      </c>
      <c r="G14" s="11">
        <v>1</v>
      </c>
      <c r="H14" s="11">
        <v>5</v>
      </c>
      <c r="I14" s="10">
        <v>10</v>
      </c>
      <c r="J14" s="4">
        <f t="shared" si="0"/>
        <v>-5</v>
      </c>
      <c r="K14" s="4">
        <f>4+3+3</f>
        <v>10</v>
      </c>
      <c r="L14" s="24" t="s">
        <v>18</v>
      </c>
    </row>
    <row r="15" spans="1:12" s="12" customFormat="1" ht="57.6">
      <c r="A15" s="26">
        <f t="shared" si="1"/>
        <v>10</v>
      </c>
      <c r="B15" s="10" t="s">
        <v>45</v>
      </c>
      <c r="C15" s="10" t="s">
        <v>46</v>
      </c>
      <c r="D15" s="10" t="s">
        <v>47</v>
      </c>
      <c r="E15" s="11">
        <v>6</v>
      </c>
      <c r="F15" s="11">
        <v>2</v>
      </c>
      <c r="G15" s="11">
        <v>1</v>
      </c>
      <c r="H15" s="11">
        <v>70</v>
      </c>
      <c r="I15" s="10">
        <v>30</v>
      </c>
      <c r="J15" s="4">
        <v>20</v>
      </c>
      <c r="K15" s="4">
        <v>55</v>
      </c>
      <c r="L15" s="24" t="s">
        <v>18</v>
      </c>
    </row>
    <row r="16" spans="1:12" s="12" customFormat="1" ht="163.5" customHeight="1">
      <c r="A16" s="26">
        <f t="shared" si="1"/>
        <v>11</v>
      </c>
      <c r="B16" s="10" t="s">
        <v>48</v>
      </c>
      <c r="C16" s="10" t="s">
        <v>49</v>
      </c>
      <c r="D16" s="10" t="s">
        <v>50</v>
      </c>
      <c r="E16" s="20" t="s">
        <v>51</v>
      </c>
      <c r="F16" s="11">
        <v>3</v>
      </c>
      <c r="G16" s="11">
        <v>1</v>
      </c>
      <c r="H16" s="11">
        <v>10</v>
      </c>
      <c r="I16" s="11">
        <v>6</v>
      </c>
      <c r="J16" s="4">
        <v>0</v>
      </c>
      <c r="K16" s="4">
        <f>6</f>
        <v>6</v>
      </c>
      <c r="L16" s="25" t="s">
        <v>41</v>
      </c>
    </row>
    <row r="17" spans="1:12" s="12" customFormat="1" ht="129" customHeight="1">
      <c r="A17" s="26">
        <f t="shared" si="1"/>
        <v>12</v>
      </c>
      <c r="B17" s="10" t="s">
        <v>52</v>
      </c>
      <c r="C17" s="22" t="s">
        <v>53</v>
      </c>
      <c r="D17" s="31" t="s">
        <v>54</v>
      </c>
      <c r="E17" s="11">
        <v>6</v>
      </c>
      <c r="F17" s="11">
        <v>2</v>
      </c>
      <c r="G17" s="21">
        <v>2</v>
      </c>
      <c r="H17" s="11">
        <v>32</v>
      </c>
      <c r="I17" s="11">
        <v>0</v>
      </c>
      <c r="J17" s="4">
        <f t="shared" si="0"/>
        <v>32</v>
      </c>
      <c r="K17" s="4">
        <v>0</v>
      </c>
      <c r="L17" s="24" t="s">
        <v>18</v>
      </c>
    </row>
    <row r="18" spans="1:12" s="12" customFormat="1" ht="98.25" customHeight="1">
      <c r="A18" s="26">
        <f t="shared" si="1"/>
        <v>13</v>
      </c>
      <c r="B18" s="10" t="s">
        <v>55</v>
      </c>
      <c r="C18" s="10" t="s">
        <v>56</v>
      </c>
      <c r="D18" s="31" t="s">
        <v>57</v>
      </c>
      <c r="E18" s="11">
        <v>6</v>
      </c>
      <c r="F18" s="11">
        <v>3</v>
      </c>
      <c r="G18" s="11">
        <v>2</v>
      </c>
      <c r="H18" s="11">
        <v>20</v>
      </c>
      <c r="I18" s="11">
        <v>0</v>
      </c>
      <c r="J18" s="4">
        <f t="shared" si="0"/>
        <v>20</v>
      </c>
      <c r="K18" s="4">
        <v>0</v>
      </c>
      <c r="L18" s="15" t="s">
        <v>58</v>
      </c>
    </row>
    <row r="19" spans="1:12" s="12" customFormat="1" ht="72">
      <c r="A19" s="26">
        <f t="shared" si="1"/>
        <v>14</v>
      </c>
      <c r="B19" s="10" t="s">
        <v>59</v>
      </c>
      <c r="C19" s="10" t="s">
        <v>60</v>
      </c>
      <c r="D19" s="31" t="s">
        <v>61</v>
      </c>
      <c r="E19" s="11">
        <v>6</v>
      </c>
      <c r="F19" s="11">
        <v>2</v>
      </c>
      <c r="G19" s="11">
        <v>2</v>
      </c>
      <c r="H19" s="11">
        <v>40</v>
      </c>
      <c r="I19" s="11">
        <v>0</v>
      </c>
      <c r="J19" s="4">
        <f t="shared" si="0"/>
        <v>40</v>
      </c>
      <c r="K19" s="4">
        <v>0</v>
      </c>
      <c r="L19" s="24" t="s">
        <v>18</v>
      </c>
    </row>
    <row r="20" spans="1:12" s="12" customFormat="1" ht="90" customHeight="1">
      <c r="A20" s="26">
        <f t="shared" si="1"/>
        <v>15</v>
      </c>
      <c r="B20" s="10" t="s">
        <v>62</v>
      </c>
      <c r="C20" s="18" t="s">
        <v>63</v>
      </c>
      <c r="D20" s="31" t="s">
        <v>64</v>
      </c>
      <c r="E20" s="11">
        <v>6</v>
      </c>
      <c r="F20" s="11">
        <v>2</v>
      </c>
      <c r="G20" s="11">
        <v>2</v>
      </c>
      <c r="H20" s="11">
        <v>24</v>
      </c>
      <c r="I20" s="11">
        <v>0</v>
      </c>
      <c r="J20" s="4">
        <f t="shared" si="0"/>
        <v>24</v>
      </c>
      <c r="K20" s="4">
        <v>0</v>
      </c>
      <c r="L20" s="24" t="s">
        <v>18</v>
      </c>
    </row>
    <row r="21" spans="1:12" s="12" customFormat="1" ht="105.75" customHeight="1">
      <c r="A21" s="26">
        <f t="shared" si="1"/>
        <v>16</v>
      </c>
      <c r="B21" s="38" t="s">
        <v>65</v>
      </c>
      <c r="C21" s="18" t="s">
        <v>66</v>
      </c>
      <c r="D21" s="6" t="s">
        <v>67</v>
      </c>
      <c r="E21" s="11">
        <v>15</v>
      </c>
      <c r="F21" s="11">
        <v>2</v>
      </c>
      <c r="G21" s="11">
        <v>2</v>
      </c>
      <c r="H21" s="11">
        <v>16</v>
      </c>
      <c r="I21" s="11">
        <v>0</v>
      </c>
      <c r="J21" s="4">
        <f t="shared" si="0"/>
        <v>16</v>
      </c>
      <c r="K21" s="4">
        <v>0</v>
      </c>
      <c r="L21" s="24" t="s">
        <v>18</v>
      </c>
    </row>
    <row r="22" spans="1:12" s="12" customFormat="1" ht="99.75" customHeight="1">
      <c r="A22" s="26">
        <f t="shared" si="1"/>
        <v>17</v>
      </c>
      <c r="B22" s="39"/>
      <c r="C22" s="6" t="s">
        <v>68</v>
      </c>
      <c r="D22" s="32" t="s">
        <v>69</v>
      </c>
      <c r="E22" s="11">
        <v>16</v>
      </c>
      <c r="F22" s="11">
        <v>2</v>
      </c>
      <c r="G22" s="11">
        <v>2</v>
      </c>
      <c r="H22" s="11">
        <v>12</v>
      </c>
      <c r="I22" s="11">
        <v>0</v>
      </c>
      <c r="J22" s="4">
        <f t="shared" si="0"/>
        <v>12</v>
      </c>
      <c r="K22" s="4">
        <v>0</v>
      </c>
      <c r="L22" s="24" t="s">
        <v>18</v>
      </c>
    </row>
    <row r="23" spans="1:12" s="12" customFormat="1" ht="72">
      <c r="A23" s="26">
        <f t="shared" si="1"/>
        <v>18</v>
      </c>
      <c r="B23" s="10" t="s">
        <v>70</v>
      </c>
      <c r="C23" s="29" t="s">
        <v>71</v>
      </c>
      <c r="D23" s="33" t="s">
        <v>72</v>
      </c>
      <c r="E23" s="30">
        <v>16</v>
      </c>
      <c r="F23" s="11">
        <v>2</v>
      </c>
      <c r="G23" s="11">
        <v>2</v>
      </c>
      <c r="H23" s="11">
        <v>37</v>
      </c>
      <c r="I23" s="11">
        <v>0</v>
      </c>
      <c r="J23" s="4">
        <f t="shared" si="0"/>
        <v>37</v>
      </c>
      <c r="K23" s="4">
        <v>0</v>
      </c>
      <c r="L23" s="24" t="s">
        <v>18</v>
      </c>
    </row>
    <row r="24" spans="1:12" s="12" customFormat="1" ht="86.45">
      <c r="A24" s="26">
        <f t="shared" si="1"/>
        <v>19</v>
      </c>
      <c r="B24" s="10" t="s">
        <v>73</v>
      </c>
      <c r="C24" s="6" t="s">
        <v>74</v>
      </c>
      <c r="D24" s="33" t="s">
        <v>75</v>
      </c>
      <c r="E24" s="30">
        <v>18</v>
      </c>
      <c r="F24" s="11">
        <v>2</v>
      </c>
      <c r="G24" s="11">
        <v>2</v>
      </c>
      <c r="H24" s="11">
        <v>20</v>
      </c>
      <c r="I24" s="11">
        <v>0</v>
      </c>
      <c r="J24" s="4">
        <f t="shared" si="0"/>
        <v>20</v>
      </c>
      <c r="K24" s="4">
        <v>0</v>
      </c>
      <c r="L24" s="24" t="s">
        <v>18</v>
      </c>
    </row>
    <row r="25" spans="1:12" s="12" customFormat="1" ht="97.5" customHeight="1">
      <c r="A25" s="26">
        <f t="shared" ref="A25:A44" si="2">A24+1</f>
        <v>20</v>
      </c>
      <c r="B25" s="10" t="s">
        <v>76</v>
      </c>
      <c r="C25" s="10" t="s">
        <v>77</v>
      </c>
      <c r="D25" s="35" t="s">
        <v>78</v>
      </c>
      <c r="E25" s="11" t="s">
        <v>79</v>
      </c>
      <c r="F25" s="11">
        <v>3</v>
      </c>
      <c r="G25" s="11">
        <v>2</v>
      </c>
      <c r="H25" s="11">
        <v>24</v>
      </c>
      <c r="I25" s="11">
        <v>0</v>
      </c>
      <c r="J25" s="4">
        <f t="shared" si="0"/>
        <v>24</v>
      </c>
      <c r="K25" s="4">
        <v>0</v>
      </c>
      <c r="L25" s="15" t="s">
        <v>58</v>
      </c>
    </row>
    <row r="26" spans="1:12" s="12" customFormat="1" ht="57.6">
      <c r="A26" s="26">
        <f t="shared" si="2"/>
        <v>21</v>
      </c>
      <c r="B26" s="10" t="s">
        <v>80</v>
      </c>
      <c r="C26" s="29" t="s">
        <v>81</v>
      </c>
      <c r="D26" s="33" t="s">
        <v>82</v>
      </c>
      <c r="E26" s="30">
        <v>2</v>
      </c>
      <c r="F26" s="11">
        <v>2</v>
      </c>
      <c r="G26" s="11">
        <v>2</v>
      </c>
      <c r="H26" s="11">
        <v>10</v>
      </c>
      <c r="I26" s="11">
        <v>9</v>
      </c>
      <c r="J26" s="4">
        <f>H26-I26</f>
        <v>1</v>
      </c>
      <c r="K26" s="4">
        <v>0</v>
      </c>
      <c r="L26" s="24" t="s">
        <v>18</v>
      </c>
    </row>
    <row r="27" spans="1:12" s="12" customFormat="1" ht="49.5" customHeight="1">
      <c r="A27" s="26">
        <f t="shared" si="2"/>
        <v>22</v>
      </c>
      <c r="B27" s="10" t="s">
        <v>83</v>
      </c>
      <c r="C27" s="29" t="s">
        <v>84</v>
      </c>
      <c r="D27" s="33" t="s">
        <v>85</v>
      </c>
      <c r="E27" s="30">
        <v>21</v>
      </c>
      <c r="F27" s="11">
        <v>2</v>
      </c>
      <c r="G27" s="11">
        <v>2</v>
      </c>
      <c r="H27" s="11">
        <v>8</v>
      </c>
      <c r="I27" s="11">
        <v>7</v>
      </c>
      <c r="J27" s="4">
        <f t="shared" si="0"/>
        <v>1</v>
      </c>
      <c r="K27" s="4">
        <v>0</v>
      </c>
      <c r="L27" s="24" t="s">
        <v>18</v>
      </c>
    </row>
    <row r="28" spans="1:12" s="12" customFormat="1" ht="86.45">
      <c r="A28" s="26">
        <f t="shared" si="2"/>
        <v>23</v>
      </c>
      <c r="B28" s="10" t="s">
        <v>86</v>
      </c>
      <c r="C28" s="29" t="s">
        <v>87</v>
      </c>
      <c r="D28" s="33" t="s">
        <v>88</v>
      </c>
      <c r="E28" s="30">
        <v>2</v>
      </c>
      <c r="F28" s="11">
        <v>2</v>
      </c>
      <c r="G28" s="11">
        <v>2</v>
      </c>
      <c r="H28" s="11">
        <v>8</v>
      </c>
      <c r="I28" s="11">
        <v>8</v>
      </c>
      <c r="J28" s="4">
        <f t="shared" si="0"/>
        <v>0</v>
      </c>
      <c r="K28" s="4">
        <v>0</v>
      </c>
      <c r="L28" s="24" t="s">
        <v>18</v>
      </c>
    </row>
    <row r="29" spans="1:12" s="12" customFormat="1" ht="57.6">
      <c r="A29" s="26">
        <f t="shared" si="2"/>
        <v>24</v>
      </c>
      <c r="B29" s="10" t="s">
        <v>89</v>
      </c>
      <c r="C29" s="29" t="s">
        <v>90</v>
      </c>
      <c r="D29" s="33" t="s">
        <v>91</v>
      </c>
      <c r="E29" s="30">
        <v>23</v>
      </c>
      <c r="F29" s="11">
        <v>2</v>
      </c>
      <c r="G29" s="11">
        <v>2</v>
      </c>
      <c r="H29" s="11">
        <v>6</v>
      </c>
      <c r="I29" s="11">
        <v>6</v>
      </c>
      <c r="J29" s="4">
        <f>H29-I29</f>
        <v>0</v>
      </c>
      <c r="K29" s="4">
        <v>0</v>
      </c>
      <c r="L29" s="24" t="s">
        <v>18</v>
      </c>
    </row>
    <row r="30" spans="1:12" s="12" customFormat="1" ht="106.5" customHeight="1">
      <c r="A30" s="26">
        <f t="shared" si="2"/>
        <v>25</v>
      </c>
      <c r="B30" s="10" t="s">
        <v>92</v>
      </c>
      <c r="C30" s="10" t="s">
        <v>93</v>
      </c>
      <c r="D30" s="18" t="s">
        <v>94</v>
      </c>
      <c r="E30" s="11" t="s">
        <v>95</v>
      </c>
      <c r="F30" s="11">
        <v>2</v>
      </c>
      <c r="G30" s="11">
        <v>2</v>
      </c>
      <c r="H30" s="11">
        <v>26</v>
      </c>
      <c r="I30" s="11">
        <v>0</v>
      </c>
      <c r="J30" s="4">
        <f t="shared" si="0"/>
        <v>26</v>
      </c>
      <c r="K30" s="4">
        <v>0</v>
      </c>
      <c r="L30" s="15" t="s">
        <v>58</v>
      </c>
    </row>
    <row r="31" spans="1:12" s="12" customFormat="1" ht="108.75" customHeight="1">
      <c r="A31" s="26">
        <f t="shared" si="2"/>
        <v>26</v>
      </c>
      <c r="B31" s="10" t="s">
        <v>96</v>
      </c>
      <c r="C31" s="10" t="s">
        <v>97</v>
      </c>
      <c r="D31" s="10" t="s">
        <v>98</v>
      </c>
      <c r="E31" s="11" t="s">
        <v>99</v>
      </c>
      <c r="F31" s="11">
        <v>2</v>
      </c>
      <c r="G31" s="11">
        <v>2</v>
      </c>
      <c r="H31" s="11">
        <v>20</v>
      </c>
      <c r="I31" s="11">
        <v>0</v>
      </c>
      <c r="J31" s="4">
        <f t="shared" si="0"/>
        <v>20</v>
      </c>
      <c r="K31" s="4">
        <v>0</v>
      </c>
      <c r="L31" s="15" t="s">
        <v>58</v>
      </c>
    </row>
    <row r="32" spans="1:12" s="12" customFormat="1" ht="0.75" customHeight="1">
      <c r="A32" s="26">
        <f t="shared" si="2"/>
        <v>27</v>
      </c>
      <c r="B32" s="10"/>
      <c r="C32" s="10"/>
      <c r="D32" s="16"/>
      <c r="E32" s="11"/>
      <c r="F32" s="11"/>
      <c r="G32" s="19">
        <v>3</v>
      </c>
      <c r="H32" s="11">
        <v>0</v>
      </c>
      <c r="I32" s="11">
        <v>0</v>
      </c>
      <c r="J32" s="4">
        <f t="shared" si="0"/>
        <v>0</v>
      </c>
      <c r="K32" s="4">
        <f t="shared" ref="K32:K43" si="3">J32</f>
        <v>0</v>
      </c>
      <c r="L32" s="15" t="s">
        <v>58</v>
      </c>
    </row>
    <row r="33" spans="1:12" s="12" customFormat="1" hidden="1">
      <c r="A33" s="26">
        <f t="shared" si="2"/>
        <v>28</v>
      </c>
      <c r="B33" s="10"/>
      <c r="C33" s="10"/>
      <c r="D33" s="16"/>
      <c r="E33" s="11"/>
      <c r="F33" s="11"/>
      <c r="G33" s="11">
        <v>3</v>
      </c>
      <c r="H33" s="11">
        <v>0</v>
      </c>
      <c r="I33" s="11">
        <v>0</v>
      </c>
      <c r="J33" s="4">
        <f t="shared" si="0"/>
        <v>0</v>
      </c>
      <c r="K33" s="4">
        <f t="shared" si="3"/>
        <v>0</v>
      </c>
      <c r="L33" s="15" t="s">
        <v>58</v>
      </c>
    </row>
    <row r="34" spans="1:12" s="12" customFormat="1" hidden="1">
      <c r="A34" s="26">
        <f t="shared" si="2"/>
        <v>29</v>
      </c>
      <c r="B34" s="10"/>
      <c r="C34" s="10"/>
      <c r="D34" s="16"/>
      <c r="E34" s="11"/>
      <c r="F34" s="11"/>
      <c r="G34" s="11">
        <v>3</v>
      </c>
      <c r="H34" s="11">
        <v>0</v>
      </c>
      <c r="I34" s="11">
        <v>0</v>
      </c>
      <c r="J34" s="4">
        <f t="shared" si="0"/>
        <v>0</v>
      </c>
      <c r="K34" s="4">
        <f t="shared" si="3"/>
        <v>0</v>
      </c>
      <c r="L34" s="15" t="s">
        <v>58</v>
      </c>
    </row>
    <row r="35" spans="1:12" s="12" customFormat="1" hidden="1">
      <c r="A35" s="26">
        <f t="shared" si="2"/>
        <v>30</v>
      </c>
      <c r="B35" s="10"/>
      <c r="C35" s="10"/>
      <c r="D35" s="16"/>
      <c r="E35" s="11"/>
      <c r="F35" s="11"/>
      <c r="G35" s="11">
        <v>3</v>
      </c>
      <c r="H35" s="11">
        <v>0</v>
      </c>
      <c r="I35" s="11">
        <v>0</v>
      </c>
      <c r="J35" s="4">
        <f t="shared" si="0"/>
        <v>0</v>
      </c>
      <c r="K35" s="4">
        <f t="shared" si="3"/>
        <v>0</v>
      </c>
      <c r="L35" s="15" t="s">
        <v>58</v>
      </c>
    </row>
    <row r="36" spans="1:12" s="12" customFormat="1" hidden="1">
      <c r="A36" s="26">
        <f t="shared" si="2"/>
        <v>31</v>
      </c>
      <c r="B36" s="10"/>
      <c r="C36" s="10"/>
      <c r="D36" s="16"/>
      <c r="E36" s="11"/>
      <c r="F36" s="11"/>
      <c r="G36" s="11">
        <v>3</v>
      </c>
      <c r="H36" s="11">
        <v>0</v>
      </c>
      <c r="I36" s="11">
        <v>0</v>
      </c>
      <c r="J36" s="4">
        <f t="shared" si="0"/>
        <v>0</v>
      </c>
      <c r="K36" s="4">
        <f t="shared" si="3"/>
        <v>0</v>
      </c>
      <c r="L36" s="15" t="s">
        <v>58</v>
      </c>
    </row>
    <row r="37" spans="1:12" s="12" customFormat="1" hidden="1">
      <c r="A37" s="26">
        <f t="shared" si="2"/>
        <v>32</v>
      </c>
      <c r="B37" s="10"/>
      <c r="C37" s="10"/>
      <c r="D37" s="16"/>
      <c r="E37" s="11"/>
      <c r="F37" s="11"/>
      <c r="G37" s="11">
        <v>3</v>
      </c>
      <c r="H37" s="11">
        <v>0</v>
      </c>
      <c r="I37" s="11">
        <v>0</v>
      </c>
      <c r="J37" s="4">
        <f t="shared" si="0"/>
        <v>0</v>
      </c>
      <c r="K37" s="4">
        <f t="shared" si="3"/>
        <v>0</v>
      </c>
      <c r="L37" s="15" t="s">
        <v>58</v>
      </c>
    </row>
    <row r="38" spans="1:12" s="12" customFormat="1" hidden="1">
      <c r="A38" s="26">
        <f t="shared" si="2"/>
        <v>33</v>
      </c>
      <c r="B38" s="10"/>
      <c r="C38" s="10"/>
      <c r="D38" s="16"/>
      <c r="E38" s="11"/>
      <c r="F38" s="11"/>
      <c r="G38" s="11">
        <v>3</v>
      </c>
      <c r="H38" s="11">
        <v>0</v>
      </c>
      <c r="I38" s="11">
        <v>0</v>
      </c>
      <c r="J38" s="4">
        <f t="shared" si="0"/>
        <v>0</v>
      </c>
      <c r="K38" s="4">
        <f t="shared" si="3"/>
        <v>0</v>
      </c>
      <c r="L38" s="15" t="s">
        <v>58</v>
      </c>
    </row>
    <row r="39" spans="1:12" s="12" customFormat="1" ht="96.6" hidden="1">
      <c r="A39" s="26">
        <f t="shared" si="2"/>
        <v>34</v>
      </c>
      <c r="B39" s="10" t="s">
        <v>100</v>
      </c>
      <c r="C39" s="10" t="s">
        <v>101</v>
      </c>
      <c r="D39" s="16" t="s">
        <v>102</v>
      </c>
      <c r="E39" s="11"/>
      <c r="F39" s="11"/>
      <c r="G39" s="11">
        <v>3</v>
      </c>
      <c r="H39" s="11">
        <v>0</v>
      </c>
      <c r="I39" s="11">
        <v>0</v>
      </c>
      <c r="J39" s="4">
        <f t="shared" si="0"/>
        <v>0</v>
      </c>
      <c r="K39" s="4">
        <f t="shared" si="3"/>
        <v>0</v>
      </c>
      <c r="L39" s="15" t="s">
        <v>58</v>
      </c>
    </row>
    <row r="40" spans="1:12" s="12" customFormat="1" ht="84.75" hidden="1" customHeight="1">
      <c r="A40" s="26">
        <f t="shared" si="2"/>
        <v>35</v>
      </c>
      <c r="B40" s="10" t="s">
        <v>103</v>
      </c>
      <c r="C40" s="10" t="s">
        <v>104</v>
      </c>
      <c r="D40" s="16" t="s">
        <v>105</v>
      </c>
      <c r="E40" s="11"/>
      <c r="F40" s="11"/>
      <c r="G40" s="11">
        <v>3</v>
      </c>
      <c r="H40" s="11">
        <v>0</v>
      </c>
      <c r="I40" s="11">
        <v>0</v>
      </c>
      <c r="J40" s="4">
        <f t="shared" si="0"/>
        <v>0</v>
      </c>
      <c r="K40" s="4">
        <f t="shared" si="3"/>
        <v>0</v>
      </c>
      <c r="L40" s="15" t="s">
        <v>58</v>
      </c>
    </row>
    <row r="41" spans="1:12" s="12" customFormat="1" ht="102" hidden="1" customHeight="1">
      <c r="A41" s="26">
        <f t="shared" si="2"/>
        <v>36</v>
      </c>
      <c r="B41" s="10" t="s">
        <v>100</v>
      </c>
      <c r="C41" s="10" t="s">
        <v>106</v>
      </c>
      <c r="D41" s="16" t="s">
        <v>107</v>
      </c>
      <c r="E41" s="11"/>
      <c r="F41" s="11"/>
      <c r="G41" s="11">
        <v>3</v>
      </c>
      <c r="H41" s="11">
        <v>0</v>
      </c>
      <c r="I41" s="11">
        <v>0</v>
      </c>
      <c r="J41" s="4">
        <f t="shared" si="0"/>
        <v>0</v>
      </c>
      <c r="K41" s="4">
        <f t="shared" si="3"/>
        <v>0</v>
      </c>
      <c r="L41" s="15" t="s">
        <v>58</v>
      </c>
    </row>
    <row r="42" spans="1:12" s="12" customFormat="1" hidden="1">
      <c r="A42" s="26">
        <f t="shared" si="2"/>
        <v>37</v>
      </c>
      <c r="B42" s="10"/>
      <c r="C42" s="10"/>
      <c r="D42" s="16"/>
      <c r="E42" s="11"/>
      <c r="F42" s="11"/>
      <c r="G42" s="11">
        <v>3</v>
      </c>
      <c r="H42" s="11">
        <v>0</v>
      </c>
      <c r="I42" s="11">
        <v>0</v>
      </c>
      <c r="J42" s="4">
        <f t="shared" si="0"/>
        <v>0</v>
      </c>
      <c r="K42" s="4">
        <f t="shared" si="3"/>
        <v>0</v>
      </c>
      <c r="L42" s="15" t="s">
        <v>58</v>
      </c>
    </row>
    <row r="43" spans="1:12" s="12" customFormat="1" ht="195.75" hidden="1" customHeight="1">
      <c r="A43" s="26">
        <f t="shared" si="2"/>
        <v>38</v>
      </c>
      <c r="B43" s="10"/>
      <c r="C43" s="10"/>
      <c r="D43" s="16"/>
      <c r="E43" s="11"/>
      <c r="F43" s="11"/>
      <c r="G43" s="11">
        <v>3</v>
      </c>
      <c r="H43" s="11">
        <v>0</v>
      </c>
      <c r="I43" s="11">
        <v>0</v>
      </c>
      <c r="J43" s="4">
        <f t="shared" si="0"/>
        <v>0</v>
      </c>
      <c r="K43" s="4">
        <f t="shared" si="3"/>
        <v>0</v>
      </c>
      <c r="L43" s="15" t="s">
        <v>58</v>
      </c>
    </row>
    <row r="44" spans="1:12" ht="58.15" customHeight="1">
      <c r="A44" s="37">
        <v>27</v>
      </c>
      <c r="C44" s="12" t="s">
        <v>108</v>
      </c>
      <c r="F44">
        <v>3</v>
      </c>
      <c r="G44" s="36">
        <v>3</v>
      </c>
      <c r="H44" s="36">
        <v>7</v>
      </c>
      <c r="L44" s="15" t="s">
        <v>58</v>
      </c>
    </row>
    <row r="45" spans="1:12" ht="54" customHeight="1">
      <c r="A45" s="37">
        <v>28</v>
      </c>
      <c r="C45" s="12" t="s">
        <v>109</v>
      </c>
      <c r="F45">
        <v>3</v>
      </c>
      <c r="G45" s="36">
        <v>3</v>
      </c>
      <c r="H45" s="36">
        <v>15</v>
      </c>
      <c r="L45" s="15" t="s">
        <v>58</v>
      </c>
    </row>
    <row r="46" spans="1:12" ht="39" customHeight="1">
      <c r="A46" s="37">
        <v>29</v>
      </c>
      <c r="C46" s="12" t="s">
        <v>110</v>
      </c>
      <c r="F46">
        <v>3</v>
      </c>
      <c r="G46" s="36">
        <v>3</v>
      </c>
      <c r="H46" s="36">
        <v>16</v>
      </c>
      <c r="L46" s="15" t="s">
        <v>58</v>
      </c>
    </row>
    <row r="47" spans="1:12" ht="87" customHeight="1">
      <c r="A47" s="37">
        <v>30</v>
      </c>
      <c r="B47" s="6" t="s">
        <v>111</v>
      </c>
      <c r="C47" s="12" t="s">
        <v>112</v>
      </c>
      <c r="F47">
        <v>3</v>
      </c>
      <c r="G47" s="36">
        <v>3</v>
      </c>
      <c r="H47" s="36">
        <v>18</v>
      </c>
      <c r="L47" s="15" t="s">
        <v>58</v>
      </c>
    </row>
    <row r="48" spans="1:12">
      <c r="A48" s="37">
        <v>31</v>
      </c>
      <c r="C48" s="12" t="s">
        <v>113</v>
      </c>
      <c r="F48">
        <v>3</v>
      </c>
      <c r="G48" s="36">
        <v>3</v>
      </c>
      <c r="H48" s="36">
        <v>3</v>
      </c>
      <c r="L48" s="15" t="s">
        <v>58</v>
      </c>
    </row>
    <row r="49" spans="1:12">
      <c r="A49" s="37">
        <v>32</v>
      </c>
      <c r="C49" s="12" t="s">
        <v>114</v>
      </c>
      <c r="F49">
        <v>3</v>
      </c>
      <c r="G49" s="36">
        <v>3</v>
      </c>
      <c r="H49" s="36">
        <v>5</v>
      </c>
      <c r="L49" s="15" t="s">
        <v>58</v>
      </c>
    </row>
    <row r="50" spans="1:12">
      <c r="A50" s="37">
        <v>33</v>
      </c>
      <c r="C50" s="12" t="s">
        <v>115</v>
      </c>
      <c r="F50">
        <v>3</v>
      </c>
      <c r="G50" s="36">
        <v>3</v>
      </c>
      <c r="H50" s="36">
        <v>3</v>
      </c>
      <c r="L50" s="15" t="s">
        <v>58</v>
      </c>
    </row>
    <row r="51" spans="1:12" ht="63" customHeight="1">
      <c r="A51" s="37">
        <v>34</v>
      </c>
      <c r="B51" s="6" t="s">
        <v>116</v>
      </c>
      <c r="C51" s="12" t="s">
        <v>117</v>
      </c>
      <c r="E51" t="s">
        <v>118</v>
      </c>
      <c r="F51">
        <v>3</v>
      </c>
      <c r="G51" s="36">
        <v>3</v>
      </c>
      <c r="H51" s="36">
        <v>11</v>
      </c>
      <c r="L51" s="15" t="s">
        <v>58</v>
      </c>
    </row>
    <row r="52" spans="1:12">
      <c r="A52" s="37">
        <v>35</v>
      </c>
      <c r="C52" s="12" t="s">
        <v>119</v>
      </c>
      <c r="F52">
        <v>3</v>
      </c>
      <c r="G52" s="36">
        <v>3</v>
      </c>
      <c r="H52" s="36">
        <v>12</v>
      </c>
      <c r="L52" s="15" t="s">
        <v>58</v>
      </c>
    </row>
    <row r="53" spans="1:12">
      <c r="A53" s="37">
        <v>36</v>
      </c>
      <c r="C53" s="12" t="s">
        <v>120</v>
      </c>
      <c r="F53">
        <v>3</v>
      </c>
      <c r="G53" s="36">
        <v>3</v>
      </c>
      <c r="H53" s="36">
        <v>4</v>
      </c>
      <c r="L53" s="15" t="s">
        <v>58</v>
      </c>
    </row>
    <row r="54" spans="1:12" ht="48.6" customHeight="1">
      <c r="A54" s="37">
        <v>37</v>
      </c>
      <c r="B54" s="6" t="s">
        <v>121</v>
      </c>
      <c r="F54">
        <v>3</v>
      </c>
      <c r="G54" s="36">
        <v>3</v>
      </c>
      <c r="H54" s="36">
        <v>13</v>
      </c>
      <c r="L54" s="15" t="s">
        <v>58</v>
      </c>
    </row>
    <row r="55" spans="1:12" ht="69" customHeight="1">
      <c r="A55" s="37">
        <v>38</v>
      </c>
      <c r="B55" s="6" t="s">
        <v>122</v>
      </c>
      <c r="F55">
        <v>3</v>
      </c>
      <c r="G55" s="36">
        <v>3</v>
      </c>
      <c r="H55" s="36">
        <v>11</v>
      </c>
      <c r="L55" s="15" t="s">
        <v>58</v>
      </c>
    </row>
  </sheetData>
  <mergeCells count="1">
    <mergeCell ref="B21:B22"/>
  </mergeCells>
  <pageMargins left="0.70866141732283472" right="0.70866141732283472" top="0.74803149606299213" bottom="0.74803149606299213" header="0.31496062992125984" footer="0.31496062992125984"/>
  <pageSetup scale="5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29A8D12096ED46A3790937988D24A3" ma:contentTypeVersion="14" ma:contentTypeDescription="Crée un document." ma:contentTypeScope="" ma:versionID="9339575d6199450f101934d89b2e57ff">
  <xsd:schema xmlns:xsd="http://www.w3.org/2001/XMLSchema" xmlns:xs="http://www.w3.org/2001/XMLSchema" xmlns:p="http://schemas.microsoft.com/office/2006/metadata/properties" xmlns:ns3="e7ad6d5a-a3f0-41ac-bc36-6c6da6294d16" xmlns:ns4="b8f228c5-dda9-4f34-945f-47e9c86a8caf" targetNamespace="http://schemas.microsoft.com/office/2006/metadata/properties" ma:root="true" ma:fieldsID="6c5822c7ab44f90a0108b93fcf8a67b8" ns3:_="" ns4:_="">
    <xsd:import namespace="e7ad6d5a-a3f0-41ac-bc36-6c6da6294d16"/>
    <xsd:import namespace="b8f228c5-dda9-4f34-945f-47e9c86a8c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d6d5a-a3f0-41ac-bc36-6c6da6294d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228c5-dda9-4f34-945f-47e9c86a8ca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ad6d5a-a3f0-41ac-bc36-6c6da6294d16" xsi:nil="true"/>
  </documentManagement>
</p:properties>
</file>

<file path=customXml/itemProps1.xml><?xml version="1.0" encoding="utf-8"?>
<ds:datastoreItem xmlns:ds="http://schemas.openxmlformats.org/officeDocument/2006/customXml" ds:itemID="{B5F73404-BD85-43B0-BC8C-9007D796AB5A}"/>
</file>

<file path=customXml/itemProps2.xml><?xml version="1.0" encoding="utf-8"?>
<ds:datastoreItem xmlns:ds="http://schemas.openxmlformats.org/officeDocument/2006/customXml" ds:itemID="{2CCE5AA8-1988-4F09-8A36-B875FA4299EA}"/>
</file>

<file path=customXml/itemProps3.xml><?xml version="1.0" encoding="utf-8"?>
<ds:datastoreItem xmlns:ds="http://schemas.openxmlformats.org/officeDocument/2006/customXml" ds:itemID="{A25DE960-DF64-43D2-BB25-71EEB5457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2025-11-24T04:58:55Z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0x010100C429A8D12096ED46A3790937988D24A3</vt:lpwstr>
  </property>
</Properties>
</file>