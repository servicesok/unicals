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qam-my.sharepoint.com/personal/ed791977_ens_uqam_ca/Documents/"/>
    </mc:Choice>
  </mc:AlternateContent>
  <xr:revisionPtr revIDLastSave="0" documentId="8_{CB6FF6C2-037C-4011-8C0E-78EEEF9E95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cklog" sheetId="1" r:id="rId1"/>
    <sheet name="team" sheetId="2" r:id="rId2"/>
  </sheets>
  <definedNames>
    <definedName name="_xlnm.Print_Area" localSheetId="0">backlog!$A$6:$AY$60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92" i="1" l="1"/>
  <c r="J92" i="1"/>
  <c r="L92" i="1" s="1"/>
  <c r="N92" i="1" s="1"/>
  <c r="P92" i="1" s="1"/>
  <c r="R92" i="1" s="1"/>
  <c r="T92" i="1" s="1"/>
  <c r="V92" i="1" s="1"/>
  <c r="X92" i="1" s="1"/>
  <c r="Z92" i="1" s="1"/>
  <c r="AB92" i="1" s="1"/>
  <c r="AD92" i="1" s="1"/>
  <c r="AF92" i="1" s="1"/>
  <c r="AH92" i="1" s="1"/>
  <c r="AJ92" i="1" s="1"/>
  <c r="AL92" i="1" s="1"/>
  <c r="AN92" i="1" s="1"/>
  <c r="AP92" i="1" s="1"/>
  <c r="AR92" i="1" s="1"/>
  <c r="AT92" i="1" s="1"/>
  <c r="AV92" i="1" s="1"/>
  <c r="AX92" i="1" s="1"/>
  <c r="AZ92" i="1" s="1"/>
  <c r="BB91" i="1"/>
  <c r="AJ91" i="1"/>
  <c r="AL91" i="1" s="1"/>
  <c r="AN91" i="1" s="1"/>
  <c r="AP91" i="1" s="1"/>
  <c r="AR91" i="1" s="1"/>
  <c r="AT91" i="1" s="1"/>
  <c r="AV91" i="1" s="1"/>
  <c r="AX91" i="1" s="1"/>
  <c r="AZ91" i="1" s="1"/>
  <c r="Z91" i="1"/>
  <c r="AB91" i="1" s="1"/>
  <c r="AD91" i="1" s="1"/>
  <c r="AF91" i="1" s="1"/>
  <c r="J91" i="1"/>
  <c r="L91" i="1" s="1"/>
  <c r="N91" i="1" s="1"/>
  <c r="P91" i="1" s="1"/>
  <c r="R91" i="1" s="1"/>
  <c r="T91" i="1" s="1"/>
  <c r="BB90" i="1"/>
  <c r="AF90" i="1"/>
  <c r="AH90" i="1" s="1"/>
  <c r="AJ90" i="1" s="1"/>
  <c r="AL90" i="1" s="1"/>
  <c r="AN90" i="1" s="1"/>
  <c r="AP90" i="1" s="1"/>
  <c r="AR90" i="1" s="1"/>
  <c r="AT90" i="1" s="1"/>
  <c r="AV90" i="1" s="1"/>
  <c r="AX90" i="1" s="1"/>
  <c r="AZ90" i="1" s="1"/>
  <c r="Z90" i="1"/>
  <c r="AB90" i="1" s="1"/>
  <c r="J90" i="1"/>
  <c r="L90" i="1" s="1"/>
  <c r="N90" i="1" s="1"/>
  <c r="P90" i="1" s="1"/>
  <c r="R90" i="1" s="1"/>
  <c r="T90" i="1" s="1"/>
  <c r="BB89" i="1"/>
  <c r="AB89" i="1"/>
  <c r="AD89" i="1" s="1"/>
  <c r="AF89" i="1" s="1"/>
  <c r="AH89" i="1" s="1"/>
  <c r="AJ89" i="1" s="1"/>
  <c r="AL89" i="1" s="1"/>
  <c r="AN89" i="1" s="1"/>
  <c r="AP89" i="1" s="1"/>
  <c r="AR89" i="1" s="1"/>
  <c r="AT89" i="1" s="1"/>
  <c r="AV89" i="1" s="1"/>
  <c r="AX89" i="1" s="1"/>
  <c r="AZ89" i="1" s="1"/>
  <c r="J89" i="1"/>
  <c r="L89" i="1" s="1"/>
  <c r="N89" i="1" s="1"/>
  <c r="P89" i="1" s="1"/>
  <c r="R89" i="1" s="1"/>
  <c r="T89" i="1" s="1"/>
  <c r="V89" i="1" s="1"/>
  <c r="BB131" i="1"/>
  <c r="BG131" i="1" s="1"/>
  <c r="J131" i="1"/>
  <c r="L131" i="1" s="1"/>
  <c r="N131" i="1" s="1"/>
  <c r="P131" i="1" s="1"/>
  <c r="R131" i="1" s="1"/>
  <c r="T131" i="1" s="1"/>
  <c r="V131" i="1" s="1"/>
  <c r="X131" i="1" s="1"/>
  <c r="Z131" i="1" s="1"/>
  <c r="AB131" i="1" s="1"/>
  <c r="AD131" i="1" s="1"/>
  <c r="AF131" i="1" s="1"/>
  <c r="AH131" i="1" s="1"/>
  <c r="AJ131" i="1" s="1"/>
  <c r="AL131" i="1" s="1"/>
  <c r="AN131" i="1" s="1"/>
  <c r="AP131" i="1" s="1"/>
  <c r="AR131" i="1" s="1"/>
  <c r="AT131" i="1" s="1"/>
  <c r="AV131" i="1" s="1"/>
  <c r="AX131" i="1" s="1"/>
  <c r="AZ131" i="1" s="1"/>
  <c r="BG89" i="1" l="1"/>
  <c r="BF89" i="1"/>
  <c r="BC89" i="1"/>
  <c r="BD89" i="1" s="1"/>
  <c r="BE89" i="1" s="1"/>
  <c r="BG90" i="1"/>
  <c r="BF90" i="1"/>
  <c r="BC90" i="1"/>
  <c r="BD90" i="1" s="1"/>
  <c r="BE90" i="1" s="1"/>
  <c r="BG91" i="1"/>
  <c r="BF91" i="1"/>
  <c r="BC91" i="1"/>
  <c r="BD91" i="1" s="1"/>
  <c r="BE91" i="1" s="1"/>
  <c r="BG92" i="1"/>
  <c r="BF92" i="1"/>
  <c r="BC92" i="1"/>
  <c r="BD92" i="1" s="1"/>
  <c r="BE92" i="1" s="1"/>
  <c r="BC131" i="1"/>
  <c r="BD131" i="1" s="1"/>
  <c r="BE131" i="1" s="1"/>
  <c r="BF131" i="1"/>
  <c r="BB129" i="1"/>
  <c r="BG129" i="1" s="1"/>
  <c r="J129" i="1"/>
  <c r="L129" i="1" s="1"/>
  <c r="N129" i="1" s="1"/>
  <c r="P129" i="1" s="1"/>
  <c r="R129" i="1" s="1"/>
  <c r="T129" i="1" s="1"/>
  <c r="V129" i="1" s="1"/>
  <c r="X129" i="1" s="1"/>
  <c r="Z129" i="1" s="1"/>
  <c r="AB129" i="1" s="1"/>
  <c r="AD129" i="1" s="1"/>
  <c r="AF129" i="1" s="1"/>
  <c r="AH129" i="1" s="1"/>
  <c r="AJ129" i="1" s="1"/>
  <c r="AL129" i="1" s="1"/>
  <c r="AN129" i="1" s="1"/>
  <c r="AP129" i="1" s="1"/>
  <c r="AR129" i="1" s="1"/>
  <c r="AT129" i="1" s="1"/>
  <c r="AV129" i="1" s="1"/>
  <c r="AX129" i="1" s="1"/>
  <c r="AZ129" i="1" s="1"/>
  <c r="BB127" i="1"/>
  <c r="BG127" i="1" s="1"/>
  <c r="J127" i="1"/>
  <c r="L127" i="1" s="1"/>
  <c r="N127" i="1" s="1"/>
  <c r="P127" i="1" s="1"/>
  <c r="R127" i="1" s="1"/>
  <c r="T127" i="1" s="1"/>
  <c r="V127" i="1" s="1"/>
  <c r="X127" i="1" s="1"/>
  <c r="Z127" i="1" s="1"/>
  <c r="AB127" i="1" s="1"/>
  <c r="AD127" i="1" s="1"/>
  <c r="AF127" i="1" s="1"/>
  <c r="AH127" i="1" s="1"/>
  <c r="AJ127" i="1" s="1"/>
  <c r="AL127" i="1" s="1"/>
  <c r="AN127" i="1" s="1"/>
  <c r="AP127" i="1" s="1"/>
  <c r="AR127" i="1" s="1"/>
  <c r="AT127" i="1" s="1"/>
  <c r="AV127" i="1" s="1"/>
  <c r="AX127" i="1" s="1"/>
  <c r="AZ127" i="1" s="1"/>
  <c r="BB126" i="1"/>
  <c r="BG126" i="1" s="1"/>
  <c r="J126" i="1"/>
  <c r="L126" i="1" s="1"/>
  <c r="N126" i="1" s="1"/>
  <c r="P126" i="1" s="1"/>
  <c r="R126" i="1" s="1"/>
  <c r="T126" i="1" s="1"/>
  <c r="V126" i="1" s="1"/>
  <c r="X126" i="1" s="1"/>
  <c r="Z126" i="1" s="1"/>
  <c r="AB126" i="1" s="1"/>
  <c r="AD126" i="1" s="1"/>
  <c r="AF126" i="1" s="1"/>
  <c r="AH126" i="1" s="1"/>
  <c r="AJ126" i="1" s="1"/>
  <c r="AL126" i="1" s="1"/>
  <c r="AN126" i="1" s="1"/>
  <c r="AP126" i="1" s="1"/>
  <c r="AR126" i="1" s="1"/>
  <c r="AT126" i="1" s="1"/>
  <c r="AV126" i="1" s="1"/>
  <c r="AX126" i="1" s="1"/>
  <c r="AZ126" i="1" s="1"/>
  <c r="BB124" i="1"/>
  <c r="BG124" i="1" s="1"/>
  <c r="J124" i="1"/>
  <c r="L124" i="1" s="1"/>
  <c r="N124" i="1" s="1"/>
  <c r="P124" i="1" s="1"/>
  <c r="R124" i="1" s="1"/>
  <c r="T124" i="1" s="1"/>
  <c r="V124" i="1" s="1"/>
  <c r="X124" i="1" s="1"/>
  <c r="Z124" i="1" s="1"/>
  <c r="AB124" i="1" s="1"/>
  <c r="AD124" i="1" s="1"/>
  <c r="AF124" i="1" s="1"/>
  <c r="AH124" i="1" s="1"/>
  <c r="AJ124" i="1" s="1"/>
  <c r="AL124" i="1" s="1"/>
  <c r="AN124" i="1" s="1"/>
  <c r="AP124" i="1" s="1"/>
  <c r="AR124" i="1" s="1"/>
  <c r="AT124" i="1" s="1"/>
  <c r="AV124" i="1" s="1"/>
  <c r="AX124" i="1" s="1"/>
  <c r="AZ124" i="1" s="1"/>
  <c r="BB122" i="1"/>
  <c r="J122" i="1"/>
  <c r="L122" i="1" s="1"/>
  <c r="N122" i="1" s="1"/>
  <c r="P122" i="1" s="1"/>
  <c r="R122" i="1" s="1"/>
  <c r="T122" i="1" s="1"/>
  <c r="V122" i="1" s="1"/>
  <c r="X122" i="1" s="1"/>
  <c r="Z122" i="1" s="1"/>
  <c r="AB122" i="1" s="1"/>
  <c r="AD122" i="1" s="1"/>
  <c r="AF122" i="1" s="1"/>
  <c r="AH122" i="1" s="1"/>
  <c r="AJ122" i="1" s="1"/>
  <c r="AL122" i="1" s="1"/>
  <c r="AN122" i="1" s="1"/>
  <c r="AP122" i="1" s="1"/>
  <c r="AR122" i="1" s="1"/>
  <c r="AT122" i="1" s="1"/>
  <c r="AV122" i="1" s="1"/>
  <c r="AX122" i="1" s="1"/>
  <c r="AZ122" i="1" s="1"/>
  <c r="BB121" i="1"/>
  <c r="BG121" i="1" s="1"/>
  <c r="J121" i="1"/>
  <c r="L121" i="1" s="1"/>
  <c r="N121" i="1" s="1"/>
  <c r="P121" i="1" s="1"/>
  <c r="R121" i="1" s="1"/>
  <c r="T121" i="1" s="1"/>
  <c r="V121" i="1" s="1"/>
  <c r="X121" i="1" s="1"/>
  <c r="Z121" i="1" s="1"/>
  <c r="AB121" i="1" s="1"/>
  <c r="AD121" i="1" s="1"/>
  <c r="AF121" i="1" s="1"/>
  <c r="AH121" i="1" s="1"/>
  <c r="AJ121" i="1" s="1"/>
  <c r="AL121" i="1" s="1"/>
  <c r="AN121" i="1" s="1"/>
  <c r="AP121" i="1" s="1"/>
  <c r="AR121" i="1" s="1"/>
  <c r="AT121" i="1" s="1"/>
  <c r="AV121" i="1" s="1"/>
  <c r="AX121" i="1" s="1"/>
  <c r="AZ121" i="1" s="1"/>
  <c r="BB120" i="1"/>
  <c r="BG120" i="1" s="1"/>
  <c r="J120" i="1"/>
  <c r="L120" i="1" s="1"/>
  <c r="N120" i="1" s="1"/>
  <c r="P120" i="1" s="1"/>
  <c r="R120" i="1" s="1"/>
  <c r="T120" i="1" s="1"/>
  <c r="V120" i="1" s="1"/>
  <c r="X120" i="1" s="1"/>
  <c r="Z120" i="1" s="1"/>
  <c r="AB120" i="1" s="1"/>
  <c r="AD120" i="1" s="1"/>
  <c r="AF120" i="1" s="1"/>
  <c r="AH120" i="1" s="1"/>
  <c r="AJ120" i="1" s="1"/>
  <c r="AL120" i="1" s="1"/>
  <c r="AN120" i="1" s="1"/>
  <c r="AP120" i="1" s="1"/>
  <c r="AR120" i="1" s="1"/>
  <c r="AT120" i="1" s="1"/>
  <c r="AV120" i="1" s="1"/>
  <c r="AX120" i="1" s="1"/>
  <c r="AZ120" i="1" s="1"/>
  <c r="BB118" i="1"/>
  <c r="BG118" i="1" s="1"/>
  <c r="J118" i="1"/>
  <c r="L118" i="1" s="1"/>
  <c r="N118" i="1" s="1"/>
  <c r="P118" i="1" s="1"/>
  <c r="R118" i="1" s="1"/>
  <c r="T118" i="1" s="1"/>
  <c r="V118" i="1" s="1"/>
  <c r="X118" i="1" s="1"/>
  <c r="Z118" i="1" s="1"/>
  <c r="AB118" i="1" s="1"/>
  <c r="AD118" i="1" s="1"/>
  <c r="AF118" i="1" s="1"/>
  <c r="AH118" i="1" s="1"/>
  <c r="AJ118" i="1" s="1"/>
  <c r="AL118" i="1" s="1"/>
  <c r="AN118" i="1" s="1"/>
  <c r="AP118" i="1" s="1"/>
  <c r="AR118" i="1" s="1"/>
  <c r="AT118" i="1" s="1"/>
  <c r="AV118" i="1" s="1"/>
  <c r="AX118" i="1" s="1"/>
  <c r="AZ118" i="1" s="1"/>
  <c r="BB116" i="1"/>
  <c r="J116" i="1"/>
  <c r="L116" i="1" s="1"/>
  <c r="N116" i="1" s="1"/>
  <c r="P116" i="1" s="1"/>
  <c r="R116" i="1" s="1"/>
  <c r="T116" i="1" s="1"/>
  <c r="V116" i="1" s="1"/>
  <c r="X116" i="1" s="1"/>
  <c r="Z116" i="1" s="1"/>
  <c r="AB116" i="1" s="1"/>
  <c r="AD116" i="1" s="1"/>
  <c r="AF116" i="1" s="1"/>
  <c r="AH116" i="1" s="1"/>
  <c r="AJ116" i="1" s="1"/>
  <c r="AL116" i="1" s="1"/>
  <c r="AN116" i="1" s="1"/>
  <c r="AP116" i="1" s="1"/>
  <c r="AR116" i="1" s="1"/>
  <c r="AT116" i="1" s="1"/>
  <c r="AV116" i="1" s="1"/>
  <c r="AX116" i="1" s="1"/>
  <c r="AZ116" i="1" s="1"/>
  <c r="BB115" i="1"/>
  <c r="BG115" i="1" s="1"/>
  <c r="J115" i="1"/>
  <c r="L115" i="1" s="1"/>
  <c r="N115" i="1" s="1"/>
  <c r="P115" i="1" s="1"/>
  <c r="R115" i="1" s="1"/>
  <c r="T115" i="1" s="1"/>
  <c r="V115" i="1" s="1"/>
  <c r="X115" i="1" s="1"/>
  <c r="Z115" i="1" s="1"/>
  <c r="AB115" i="1" s="1"/>
  <c r="AD115" i="1" s="1"/>
  <c r="AF115" i="1" s="1"/>
  <c r="AH115" i="1" s="1"/>
  <c r="AJ115" i="1" s="1"/>
  <c r="AL115" i="1" s="1"/>
  <c r="AN115" i="1" s="1"/>
  <c r="AP115" i="1" s="1"/>
  <c r="AR115" i="1" s="1"/>
  <c r="AT115" i="1" s="1"/>
  <c r="AV115" i="1" s="1"/>
  <c r="AX115" i="1" s="1"/>
  <c r="AZ115" i="1" s="1"/>
  <c r="BB114" i="1"/>
  <c r="J114" i="1"/>
  <c r="L114" i="1" s="1"/>
  <c r="N114" i="1" s="1"/>
  <c r="P114" i="1" s="1"/>
  <c r="R114" i="1" s="1"/>
  <c r="T114" i="1" s="1"/>
  <c r="V114" i="1" s="1"/>
  <c r="X114" i="1" s="1"/>
  <c r="Z114" i="1" s="1"/>
  <c r="AB114" i="1" s="1"/>
  <c r="AD114" i="1" s="1"/>
  <c r="AF114" i="1" s="1"/>
  <c r="AH114" i="1" s="1"/>
  <c r="AJ114" i="1" s="1"/>
  <c r="AL114" i="1" s="1"/>
  <c r="AN114" i="1" s="1"/>
  <c r="AP114" i="1" s="1"/>
  <c r="AR114" i="1" s="1"/>
  <c r="AT114" i="1" s="1"/>
  <c r="AV114" i="1" s="1"/>
  <c r="AX114" i="1" s="1"/>
  <c r="AZ114" i="1" s="1"/>
  <c r="J112" i="1"/>
  <c r="J111" i="1"/>
  <c r="J110" i="1"/>
  <c r="J108" i="1"/>
  <c r="J107" i="1"/>
  <c r="J106" i="1"/>
  <c r="J96" i="1"/>
  <c r="J95" i="1"/>
  <c r="J94" i="1"/>
  <c r="J79" i="1"/>
  <c r="L79" i="1" s="1"/>
  <c r="N79" i="1" s="1"/>
  <c r="P79" i="1" s="1"/>
  <c r="R79" i="1" s="1"/>
  <c r="T79" i="1" s="1"/>
  <c r="V79" i="1" s="1"/>
  <c r="X79" i="1" s="1"/>
  <c r="Z79" i="1" s="1"/>
  <c r="AB79" i="1" s="1"/>
  <c r="AD79" i="1" s="1"/>
  <c r="AF79" i="1" s="1"/>
  <c r="AH79" i="1" s="1"/>
  <c r="AJ79" i="1" s="1"/>
  <c r="AL79" i="1" s="1"/>
  <c r="AN79" i="1" s="1"/>
  <c r="AP79" i="1" s="1"/>
  <c r="AR79" i="1" s="1"/>
  <c r="AT79" i="1" s="1"/>
  <c r="AV79" i="1" s="1"/>
  <c r="AX79" i="1" s="1"/>
  <c r="AZ79" i="1" s="1"/>
  <c r="J80" i="1"/>
  <c r="L80" i="1" s="1"/>
  <c r="N80" i="1" s="1"/>
  <c r="P80" i="1" s="1"/>
  <c r="R80" i="1" s="1"/>
  <c r="T80" i="1" s="1"/>
  <c r="V80" i="1" s="1"/>
  <c r="X80" i="1" s="1"/>
  <c r="Z80" i="1" s="1"/>
  <c r="AB80" i="1" s="1"/>
  <c r="AD80" i="1" s="1"/>
  <c r="AF80" i="1" s="1"/>
  <c r="AH80" i="1" s="1"/>
  <c r="AJ80" i="1" s="1"/>
  <c r="AL80" i="1" s="1"/>
  <c r="AN80" i="1" s="1"/>
  <c r="AP80" i="1" s="1"/>
  <c r="AR80" i="1" s="1"/>
  <c r="AT80" i="1" s="1"/>
  <c r="AV80" i="1" s="1"/>
  <c r="AX80" i="1" s="1"/>
  <c r="AZ80" i="1" s="1"/>
  <c r="BB79" i="1"/>
  <c r="BF79" i="1"/>
  <c r="BG79" i="1"/>
  <c r="BB80" i="1"/>
  <c r="BF80" i="1"/>
  <c r="BG80" i="1"/>
  <c r="BB73" i="1"/>
  <c r="BB74" i="1"/>
  <c r="X73" i="1"/>
  <c r="Z73" i="1" s="1"/>
  <c r="AB73" i="1" s="1"/>
  <c r="AD73" i="1" s="1"/>
  <c r="AF73" i="1" s="1"/>
  <c r="AH73" i="1" s="1"/>
  <c r="AL73" i="1" s="1"/>
  <c r="AN73" i="1" s="1"/>
  <c r="AP73" i="1" s="1"/>
  <c r="AR73" i="1" s="1"/>
  <c r="AT73" i="1" s="1"/>
  <c r="AV73" i="1" s="1"/>
  <c r="AX73" i="1" s="1"/>
  <c r="AZ73" i="1" s="1"/>
  <c r="X74" i="1"/>
  <c r="Z74" i="1" s="1"/>
  <c r="AB74" i="1" s="1"/>
  <c r="AD74" i="1" s="1"/>
  <c r="AF74" i="1" s="1"/>
  <c r="AJ74" i="1" s="1"/>
  <c r="AL74" i="1" s="1"/>
  <c r="AN74" i="1" s="1"/>
  <c r="AP74" i="1" s="1"/>
  <c r="AR74" i="1" s="1"/>
  <c r="AT74" i="1" s="1"/>
  <c r="AV74" i="1" s="1"/>
  <c r="AX74" i="1" s="1"/>
  <c r="AZ74" i="1" s="1"/>
  <c r="L107" i="1"/>
  <c r="N107" i="1" s="1"/>
  <c r="P107" i="1" s="1"/>
  <c r="R107" i="1" s="1"/>
  <c r="T107" i="1" s="1"/>
  <c r="V107" i="1" s="1"/>
  <c r="X107" i="1" s="1"/>
  <c r="Z107" i="1" s="1"/>
  <c r="AB107" i="1" s="1"/>
  <c r="AD107" i="1" s="1"/>
  <c r="AF107" i="1" s="1"/>
  <c r="AH107" i="1" s="1"/>
  <c r="AJ107" i="1" s="1"/>
  <c r="AL107" i="1" s="1"/>
  <c r="AN107" i="1" s="1"/>
  <c r="AP107" i="1" s="1"/>
  <c r="AR107" i="1" s="1"/>
  <c r="AT107" i="1" s="1"/>
  <c r="AV107" i="1" s="1"/>
  <c r="AX107" i="1" s="1"/>
  <c r="AZ107" i="1" s="1"/>
  <c r="L106" i="1"/>
  <c r="N106" i="1" s="1"/>
  <c r="P106" i="1" s="1"/>
  <c r="R106" i="1" s="1"/>
  <c r="T106" i="1" s="1"/>
  <c r="V106" i="1" s="1"/>
  <c r="X106" i="1" s="1"/>
  <c r="Z106" i="1" s="1"/>
  <c r="AB106" i="1" s="1"/>
  <c r="AD106" i="1" s="1"/>
  <c r="AF106" i="1" s="1"/>
  <c r="AH106" i="1" s="1"/>
  <c r="AJ106" i="1" s="1"/>
  <c r="AL106" i="1" s="1"/>
  <c r="AN106" i="1" s="1"/>
  <c r="AP106" i="1" s="1"/>
  <c r="AR106" i="1" s="1"/>
  <c r="AT106" i="1" s="1"/>
  <c r="AV106" i="1" s="1"/>
  <c r="AX106" i="1" s="1"/>
  <c r="AZ106" i="1" s="1"/>
  <c r="BB106" i="1"/>
  <c r="BC106" i="1"/>
  <c r="BD106" i="1"/>
  <c r="BE106" i="1"/>
  <c r="BF106" i="1"/>
  <c r="BG106" i="1"/>
  <c r="BB107" i="1"/>
  <c r="BC107" i="1"/>
  <c r="BD107" i="1"/>
  <c r="BE107" i="1"/>
  <c r="BF107" i="1"/>
  <c r="BG107" i="1"/>
  <c r="J102" i="1"/>
  <c r="L102" i="1"/>
  <c r="N102" i="1"/>
  <c r="P102" i="1" s="1"/>
  <c r="R102" i="1" s="1"/>
  <c r="T102" i="1" s="1"/>
  <c r="V102" i="1" s="1"/>
  <c r="X102" i="1" s="1"/>
  <c r="AB102" i="1"/>
  <c r="AD102" i="1"/>
  <c r="AF102" i="1"/>
  <c r="AH102" i="1" s="1"/>
  <c r="AL102" i="1"/>
  <c r="AN102" i="1" s="1"/>
  <c r="AP102" i="1" s="1"/>
  <c r="AR102" i="1" s="1"/>
  <c r="AT102" i="1" s="1"/>
  <c r="AV102" i="1" s="1"/>
  <c r="AX102" i="1" s="1"/>
  <c r="AZ102" i="1" s="1"/>
  <c r="BB102" i="1"/>
  <c r="BC102" i="1" s="1"/>
  <c r="BD102" i="1" s="1"/>
  <c r="BE102" i="1" s="1"/>
  <c r="J104" i="1"/>
  <c r="L104" i="1" s="1"/>
  <c r="N104" i="1" s="1"/>
  <c r="P104" i="1" s="1"/>
  <c r="R104" i="1" s="1"/>
  <c r="T104" i="1" s="1"/>
  <c r="V104" i="1" s="1"/>
  <c r="X104" i="1" s="1"/>
  <c r="Z104" i="1" s="1"/>
  <c r="AB104" i="1" s="1"/>
  <c r="AD104" i="1" s="1"/>
  <c r="AF104" i="1" s="1"/>
  <c r="AH104" i="1" s="1"/>
  <c r="AL104" i="1"/>
  <c r="AN104" i="1"/>
  <c r="AP104" i="1"/>
  <c r="AR104" i="1"/>
  <c r="AT104" i="1"/>
  <c r="AV104" i="1"/>
  <c r="AX104" i="1"/>
  <c r="AZ104" i="1"/>
  <c r="BB104" i="1"/>
  <c r="BC104" i="1" s="1"/>
  <c r="BD104" i="1" s="1"/>
  <c r="BE104" i="1" s="1"/>
  <c r="J100" i="1"/>
  <c r="L100" i="1" s="1"/>
  <c r="N100" i="1" s="1"/>
  <c r="P100" i="1" s="1"/>
  <c r="R100" i="1" s="1"/>
  <c r="T100" i="1" s="1"/>
  <c r="V100" i="1" s="1"/>
  <c r="X100" i="1" s="1"/>
  <c r="Z100" i="1" s="1"/>
  <c r="AB100" i="1" s="1"/>
  <c r="AD100" i="1" s="1"/>
  <c r="AF100" i="1" s="1"/>
  <c r="AH100" i="1" s="1"/>
  <c r="AJ100" i="1" s="1"/>
  <c r="AN100" i="1"/>
  <c r="AP100" i="1"/>
  <c r="AR100" i="1"/>
  <c r="AT100" i="1"/>
  <c r="AV100" i="1"/>
  <c r="AX100" i="1"/>
  <c r="AZ100" i="1"/>
  <c r="BB100" i="1"/>
  <c r="BF100" i="1" s="1"/>
  <c r="BC100" i="1"/>
  <c r="BD100" i="1" s="1"/>
  <c r="BE100" i="1" s="1"/>
  <c r="BG100" i="1"/>
  <c r="J73" i="1"/>
  <c r="L73" i="1" s="1"/>
  <c r="N73" i="1" s="1"/>
  <c r="P73" i="1" s="1"/>
  <c r="R73" i="1" s="1"/>
  <c r="T73" i="1" s="1"/>
  <c r="J74" i="1"/>
  <c r="L74" i="1" s="1"/>
  <c r="N74" i="1" s="1"/>
  <c r="P74" i="1" s="1"/>
  <c r="R74" i="1" s="1"/>
  <c r="T74" i="1" s="1"/>
  <c r="BB64" i="1"/>
  <c r="BC64" i="1"/>
  <c r="BD64" i="1"/>
  <c r="BE64" i="1"/>
  <c r="BF64" i="1"/>
  <c r="BG64" i="1"/>
  <c r="J64" i="1"/>
  <c r="L64" i="1" s="1"/>
  <c r="N64" i="1" s="1"/>
  <c r="P64" i="1" s="1"/>
  <c r="R64" i="1" s="1"/>
  <c r="T64" i="1" s="1"/>
  <c r="V64" i="1" s="1"/>
  <c r="X64" i="1" s="1"/>
  <c r="Z64" i="1" s="1"/>
  <c r="AB64" i="1" s="1"/>
  <c r="AD64" i="1" s="1"/>
  <c r="AF64" i="1" s="1"/>
  <c r="AH64" i="1" s="1"/>
  <c r="AJ64" i="1" s="1"/>
  <c r="AL64" i="1" s="1"/>
  <c r="AN64" i="1" s="1"/>
  <c r="AP64" i="1" s="1"/>
  <c r="AR64" i="1" s="1"/>
  <c r="AT64" i="1" s="1"/>
  <c r="AV64" i="1" s="1"/>
  <c r="AX64" i="1" s="1"/>
  <c r="AZ64" i="1" s="1"/>
  <c r="BB65" i="1"/>
  <c r="BC65" i="1"/>
  <c r="BD65" i="1"/>
  <c r="BE65" i="1"/>
  <c r="BF65" i="1"/>
  <c r="BG65" i="1"/>
  <c r="J65" i="1"/>
  <c r="L65" i="1" s="1"/>
  <c r="N65" i="1" s="1"/>
  <c r="P65" i="1" s="1"/>
  <c r="R65" i="1" s="1"/>
  <c r="T65" i="1" s="1"/>
  <c r="V65" i="1" s="1"/>
  <c r="X65" i="1" s="1"/>
  <c r="Z65" i="1" s="1"/>
  <c r="AB65" i="1" s="1"/>
  <c r="AD65" i="1" s="1"/>
  <c r="AF65" i="1" s="1"/>
  <c r="AH65" i="1" s="1"/>
  <c r="AJ65" i="1" s="1"/>
  <c r="AL65" i="1" s="1"/>
  <c r="AN65" i="1" s="1"/>
  <c r="AP65" i="1" s="1"/>
  <c r="AR65" i="1" s="1"/>
  <c r="AT65" i="1" s="1"/>
  <c r="AV65" i="1" s="1"/>
  <c r="AX65" i="1" s="1"/>
  <c r="AZ65" i="1" s="1"/>
  <c r="D76" i="1"/>
  <c r="D77" i="1" s="1"/>
  <c r="D78" i="1" s="1"/>
  <c r="D79" i="1" s="1"/>
  <c r="E73" i="1"/>
  <c r="D71" i="1"/>
  <c r="D73" i="1" s="1"/>
  <c r="D70" i="1"/>
  <c r="D72" i="1" s="1"/>
  <c r="D74" i="1" s="1"/>
  <c r="BB66" i="1"/>
  <c r="BC66" i="1"/>
  <c r="BD66" i="1"/>
  <c r="BE66" i="1"/>
  <c r="BF66" i="1"/>
  <c r="BG66" i="1"/>
  <c r="J66" i="1"/>
  <c r="L66" i="1" s="1"/>
  <c r="N66" i="1" s="1"/>
  <c r="P66" i="1" s="1"/>
  <c r="R66" i="1" s="1"/>
  <c r="T66" i="1" s="1"/>
  <c r="V66" i="1" s="1"/>
  <c r="X66" i="1" s="1"/>
  <c r="Z66" i="1" s="1"/>
  <c r="AB66" i="1" s="1"/>
  <c r="AD66" i="1" s="1"/>
  <c r="AF66" i="1" s="1"/>
  <c r="AH66" i="1" s="1"/>
  <c r="AJ66" i="1" s="1"/>
  <c r="AL66" i="1" s="1"/>
  <c r="AN66" i="1" s="1"/>
  <c r="AP66" i="1" s="1"/>
  <c r="AR66" i="1" s="1"/>
  <c r="AT66" i="1" s="1"/>
  <c r="AV66" i="1" s="1"/>
  <c r="AX66" i="1" s="1"/>
  <c r="AZ66" i="1" s="1"/>
  <c r="L110" i="1"/>
  <c r="N110" i="1"/>
  <c r="P110" i="1" s="1"/>
  <c r="R110" i="1" s="1"/>
  <c r="T110" i="1" s="1"/>
  <c r="V110" i="1" s="1"/>
  <c r="X110" i="1" s="1"/>
  <c r="Z110" i="1" s="1"/>
  <c r="AB110" i="1" s="1"/>
  <c r="AD110" i="1" s="1"/>
  <c r="AF110" i="1" s="1"/>
  <c r="AH110" i="1" s="1"/>
  <c r="AJ110" i="1" s="1"/>
  <c r="AL110" i="1" s="1"/>
  <c r="AN110" i="1" s="1"/>
  <c r="AP110" i="1" s="1"/>
  <c r="AR110" i="1" s="1"/>
  <c r="AT110" i="1" s="1"/>
  <c r="AV110" i="1" s="1"/>
  <c r="AX110" i="1" s="1"/>
  <c r="AZ110" i="1" s="1"/>
  <c r="BB110" i="1"/>
  <c r="BC110" i="1"/>
  <c r="BD110" i="1"/>
  <c r="BE110" i="1"/>
  <c r="BF110" i="1"/>
  <c r="BG110" i="1"/>
  <c r="L111" i="1"/>
  <c r="N111" i="1"/>
  <c r="P111" i="1" s="1"/>
  <c r="R111" i="1" s="1"/>
  <c r="T111" i="1" s="1"/>
  <c r="V111" i="1" s="1"/>
  <c r="X111" i="1" s="1"/>
  <c r="Z111" i="1" s="1"/>
  <c r="AB111" i="1" s="1"/>
  <c r="AD111" i="1" s="1"/>
  <c r="AF111" i="1" s="1"/>
  <c r="AH111" i="1" s="1"/>
  <c r="AJ111" i="1" s="1"/>
  <c r="AL111" i="1" s="1"/>
  <c r="AN111" i="1" s="1"/>
  <c r="AP111" i="1" s="1"/>
  <c r="AR111" i="1" s="1"/>
  <c r="AT111" i="1" s="1"/>
  <c r="AV111" i="1" s="1"/>
  <c r="AX111" i="1" s="1"/>
  <c r="AZ111" i="1" s="1"/>
  <c r="BB111" i="1"/>
  <c r="BC111" i="1"/>
  <c r="BD111" i="1"/>
  <c r="BE111" i="1"/>
  <c r="BF111" i="1"/>
  <c r="BG111" i="1"/>
  <c r="L112" i="1"/>
  <c r="N112" i="1"/>
  <c r="P112" i="1" s="1"/>
  <c r="R112" i="1" s="1"/>
  <c r="T112" i="1" s="1"/>
  <c r="V112" i="1" s="1"/>
  <c r="X112" i="1" s="1"/>
  <c r="Z112" i="1" s="1"/>
  <c r="AB112" i="1" s="1"/>
  <c r="AD112" i="1" s="1"/>
  <c r="AF112" i="1" s="1"/>
  <c r="AH112" i="1" s="1"/>
  <c r="AJ112" i="1" s="1"/>
  <c r="AL112" i="1" s="1"/>
  <c r="AN112" i="1" s="1"/>
  <c r="AP112" i="1" s="1"/>
  <c r="AR112" i="1" s="1"/>
  <c r="AT112" i="1" s="1"/>
  <c r="AV112" i="1" s="1"/>
  <c r="AX112" i="1" s="1"/>
  <c r="AZ112" i="1" s="1"/>
  <c r="BB112" i="1"/>
  <c r="BC112" i="1"/>
  <c r="BD112" i="1"/>
  <c r="BE112" i="1"/>
  <c r="BF112" i="1"/>
  <c r="BG112" i="1"/>
  <c r="J98" i="1"/>
  <c r="L98" i="1" s="1"/>
  <c r="N98" i="1" s="1"/>
  <c r="P98" i="1" s="1"/>
  <c r="R98" i="1" s="1"/>
  <c r="T98" i="1" s="1"/>
  <c r="V98" i="1" s="1"/>
  <c r="X98" i="1" s="1"/>
  <c r="Z98" i="1" s="1"/>
  <c r="AB98" i="1" s="1"/>
  <c r="AD98" i="1" s="1"/>
  <c r="AF98" i="1" s="1"/>
  <c r="AH98" i="1" s="1"/>
  <c r="AN98" i="1"/>
  <c r="AP98" i="1"/>
  <c r="AR98" i="1"/>
  <c r="AT98" i="1"/>
  <c r="AV98" i="1"/>
  <c r="AX98" i="1"/>
  <c r="AZ98" i="1"/>
  <c r="BB98" i="1"/>
  <c r="BG98" i="1" s="1"/>
  <c r="BC98" i="1"/>
  <c r="BD98" i="1"/>
  <c r="BE98" i="1" s="1"/>
  <c r="BF98" i="1"/>
  <c r="L94" i="1"/>
  <c r="N94" i="1"/>
  <c r="P94" i="1" s="1"/>
  <c r="R94" i="1" s="1"/>
  <c r="T94" i="1" s="1"/>
  <c r="V94" i="1" s="1"/>
  <c r="X94" i="1" s="1"/>
  <c r="Z94" i="1" s="1"/>
  <c r="AB94" i="1" s="1"/>
  <c r="AD94" i="1" s="1"/>
  <c r="AF94" i="1" s="1"/>
  <c r="AH94" i="1" s="1"/>
  <c r="AJ94" i="1" s="1"/>
  <c r="AL94" i="1" s="1"/>
  <c r="AN94" i="1" s="1"/>
  <c r="AP94" i="1" s="1"/>
  <c r="AR94" i="1" s="1"/>
  <c r="AT94" i="1" s="1"/>
  <c r="AV94" i="1" s="1"/>
  <c r="AX94" i="1" s="1"/>
  <c r="AZ94" i="1" s="1"/>
  <c r="BB94" i="1"/>
  <c r="BC94" i="1"/>
  <c r="BD94" i="1"/>
  <c r="BE94" i="1"/>
  <c r="BF94" i="1"/>
  <c r="BG94" i="1"/>
  <c r="L95" i="1"/>
  <c r="N95" i="1"/>
  <c r="P95" i="1" s="1"/>
  <c r="R95" i="1" s="1"/>
  <c r="T95" i="1" s="1"/>
  <c r="V95" i="1" s="1"/>
  <c r="X95" i="1" s="1"/>
  <c r="Z95" i="1" s="1"/>
  <c r="AB95" i="1" s="1"/>
  <c r="AD95" i="1" s="1"/>
  <c r="AF95" i="1" s="1"/>
  <c r="AH95" i="1" s="1"/>
  <c r="AJ95" i="1" s="1"/>
  <c r="AL95" i="1" s="1"/>
  <c r="AN95" i="1" s="1"/>
  <c r="AP95" i="1" s="1"/>
  <c r="AR95" i="1" s="1"/>
  <c r="AT95" i="1" s="1"/>
  <c r="AV95" i="1" s="1"/>
  <c r="AX95" i="1" s="1"/>
  <c r="AZ95" i="1" s="1"/>
  <c r="BB95" i="1"/>
  <c r="BC95" i="1"/>
  <c r="BD95" i="1"/>
  <c r="BE95" i="1"/>
  <c r="BF95" i="1"/>
  <c r="BG95" i="1"/>
  <c r="L96" i="1"/>
  <c r="N96" i="1" s="1"/>
  <c r="P96" i="1" s="1"/>
  <c r="R96" i="1" s="1"/>
  <c r="T96" i="1" s="1"/>
  <c r="V96" i="1" s="1"/>
  <c r="X96" i="1" s="1"/>
  <c r="Z96" i="1" s="1"/>
  <c r="AB96" i="1" s="1"/>
  <c r="AD96" i="1" s="1"/>
  <c r="AF96" i="1" s="1"/>
  <c r="AH96" i="1" s="1"/>
  <c r="AJ96" i="1" s="1"/>
  <c r="AL96" i="1" s="1"/>
  <c r="AN96" i="1" s="1"/>
  <c r="AP96" i="1" s="1"/>
  <c r="AR96" i="1" s="1"/>
  <c r="AT96" i="1" s="1"/>
  <c r="AV96" i="1" s="1"/>
  <c r="AX96" i="1" s="1"/>
  <c r="AZ96" i="1" s="1"/>
  <c r="BB96" i="1"/>
  <c r="BC96" i="1"/>
  <c r="BD96" i="1"/>
  <c r="BE96" i="1"/>
  <c r="BF96" i="1"/>
  <c r="BG96" i="1"/>
  <c r="J85" i="1"/>
  <c r="L85" i="1"/>
  <c r="N85" i="1"/>
  <c r="P85" i="1"/>
  <c r="R85" i="1"/>
  <c r="T85" i="1"/>
  <c r="V85" i="1"/>
  <c r="X85" i="1"/>
  <c r="Z85" i="1"/>
  <c r="AB85" i="1"/>
  <c r="AD85" i="1" s="1"/>
  <c r="AF85" i="1" s="1"/>
  <c r="AH85" i="1" s="1"/>
  <c r="AJ85" i="1" s="1"/>
  <c r="AL85" i="1" s="1"/>
  <c r="AN85" i="1" s="1"/>
  <c r="AP85" i="1" s="1"/>
  <c r="AR85" i="1" s="1"/>
  <c r="AT85" i="1" s="1"/>
  <c r="AV85" i="1" s="1"/>
  <c r="AX85" i="1" s="1"/>
  <c r="AZ85" i="1" s="1"/>
  <c r="BB85" i="1"/>
  <c r="BG85" i="1" s="1"/>
  <c r="J86" i="1"/>
  <c r="L86" i="1"/>
  <c r="N86" i="1"/>
  <c r="P86" i="1"/>
  <c r="R86" i="1"/>
  <c r="T86" i="1"/>
  <c r="V86" i="1"/>
  <c r="X86" i="1"/>
  <c r="Z86" i="1"/>
  <c r="AB86" i="1"/>
  <c r="AD86" i="1"/>
  <c r="AF86" i="1"/>
  <c r="AH86" i="1"/>
  <c r="AJ86" i="1"/>
  <c r="AL86" i="1" s="1"/>
  <c r="AN86" i="1" s="1"/>
  <c r="AP86" i="1" s="1"/>
  <c r="AR86" i="1" s="1"/>
  <c r="AT86" i="1" s="1"/>
  <c r="AV86" i="1" s="1"/>
  <c r="AX86" i="1" s="1"/>
  <c r="AZ86" i="1" s="1"/>
  <c r="BB86" i="1"/>
  <c r="BC86" i="1" s="1"/>
  <c r="BD86" i="1" s="1"/>
  <c r="BE86" i="1" s="1"/>
  <c r="BF86" i="1"/>
  <c r="BG86" i="1"/>
  <c r="J87" i="1"/>
  <c r="L87" i="1"/>
  <c r="N87" i="1"/>
  <c r="P87" i="1"/>
  <c r="R87" i="1"/>
  <c r="T87" i="1"/>
  <c r="V87" i="1"/>
  <c r="X87" i="1"/>
  <c r="Z87" i="1"/>
  <c r="AB87" i="1"/>
  <c r="AD87" i="1" s="1"/>
  <c r="AF87" i="1" s="1"/>
  <c r="AH87" i="1" s="1"/>
  <c r="AJ87" i="1" s="1"/>
  <c r="AL87" i="1" s="1"/>
  <c r="AN87" i="1" s="1"/>
  <c r="AP87" i="1" s="1"/>
  <c r="AR87" i="1" s="1"/>
  <c r="AT87" i="1" s="1"/>
  <c r="AV87" i="1" s="1"/>
  <c r="AX87" i="1" s="1"/>
  <c r="AZ87" i="1" s="1"/>
  <c r="BB87" i="1"/>
  <c r="BF87" i="1" s="1"/>
  <c r="BC87" i="1"/>
  <c r="BD87" i="1"/>
  <c r="BE87" i="1"/>
  <c r="J82" i="1"/>
  <c r="L82" i="1"/>
  <c r="N82" i="1"/>
  <c r="P82" i="1"/>
  <c r="R82" i="1"/>
  <c r="T82" i="1"/>
  <c r="V82" i="1"/>
  <c r="X82" i="1" s="1"/>
  <c r="Z82" i="1" s="1"/>
  <c r="AB82" i="1" s="1"/>
  <c r="AD82" i="1" s="1"/>
  <c r="AF82" i="1" s="1"/>
  <c r="AH82" i="1" s="1"/>
  <c r="AJ82" i="1" s="1"/>
  <c r="AL82" i="1" s="1"/>
  <c r="AN82" i="1" s="1"/>
  <c r="AP82" i="1" s="1"/>
  <c r="AR82" i="1" s="1"/>
  <c r="AT82" i="1" s="1"/>
  <c r="AV82" i="1" s="1"/>
  <c r="AZ82" i="1" s="1"/>
  <c r="BB82" i="1"/>
  <c r="BC82" i="1" s="1"/>
  <c r="BD82" i="1" s="1"/>
  <c r="BE82" i="1" s="1"/>
  <c r="BF82" i="1"/>
  <c r="BG82" i="1"/>
  <c r="J83" i="1"/>
  <c r="L83" i="1"/>
  <c r="N83" i="1"/>
  <c r="P83" i="1"/>
  <c r="R83" i="1"/>
  <c r="T83" i="1"/>
  <c r="V83" i="1"/>
  <c r="X83" i="1"/>
  <c r="Z83" i="1"/>
  <c r="AB83" i="1"/>
  <c r="AD83" i="1"/>
  <c r="AF83" i="1"/>
  <c r="AH83" i="1"/>
  <c r="AJ83" i="1" s="1"/>
  <c r="AL83" i="1" s="1"/>
  <c r="AN83" i="1" s="1"/>
  <c r="AP83" i="1" s="1"/>
  <c r="AR83" i="1" s="1"/>
  <c r="AT83" i="1" s="1"/>
  <c r="AV83" i="1" s="1"/>
  <c r="AX83" i="1" s="1"/>
  <c r="AZ83" i="1" s="1"/>
  <c r="BB83" i="1"/>
  <c r="BF83" i="1" s="1"/>
  <c r="BC83" i="1"/>
  <c r="BD83" i="1"/>
  <c r="BE83" i="1"/>
  <c r="J70" i="1"/>
  <c r="L70" i="1"/>
  <c r="N70" i="1"/>
  <c r="P70" i="1"/>
  <c r="R70" i="1"/>
  <c r="T70" i="1"/>
  <c r="V70" i="1"/>
  <c r="X70" i="1"/>
  <c r="Z70" i="1"/>
  <c r="AB70" i="1"/>
  <c r="AD70" i="1"/>
  <c r="AF70" i="1"/>
  <c r="AH70" i="1"/>
  <c r="AJ70" i="1"/>
  <c r="AL70" i="1"/>
  <c r="AN70" i="1"/>
  <c r="AP70" i="1"/>
  <c r="AR70" i="1"/>
  <c r="AT70" i="1"/>
  <c r="AV70" i="1"/>
  <c r="AX70" i="1"/>
  <c r="AZ70" i="1"/>
  <c r="BB70" i="1"/>
  <c r="BC70" i="1"/>
  <c r="BD70" i="1"/>
  <c r="BE70" i="1"/>
  <c r="BF70" i="1"/>
  <c r="BG70" i="1"/>
  <c r="J71" i="1"/>
  <c r="L71" i="1"/>
  <c r="N71" i="1"/>
  <c r="P71" i="1"/>
  <c r="R71" i="1"/>
  <c r="T71" i="1"/>
  <c r="V71" i="1"/>
  <c r="X71" i="1"/>
  <c r="Z71" i="1"/>
  <c r="AD71" i="1"/>
  <c r="AF71" i="1"/>
  <c r="AH71" i="1"/>
  <c r="AJ71" i="1"/>
  <c r="AL71" i="1"/>
  <c r="AN71" i="1"/>
  <c r="AP71" i="1"/>
  <c r="AR71" i="1"/>
  <c r="AT71" i="1"/>
  <c r="AV71" i="1"/>
  <c r="AX71" i="1"/>
  <c r="AZ71" i="1"/>
  <c r="BB71" i="1"/>
  <c r="BC71" i="1"/>
  <c r="BD71" i="1"/>
  <c r="BE71" i="1"/>
  <c r="BF71" i="1"/>
  <c r="BG71" i="1"/>
  <c r="J72" i="1"/>
  <c r="L72" i="1"/>
  <c r="N72" i="1"/>
  <c r="P72" i="1"/>
  <c r="R72" i="1"/>
  <c r="T72" i="1"/>
  <c r="V72" i="1"/>
  <c r="X72" i="1"/>
  <c r="Z72" i="1"/>
  <c r="AB72" i="1"/>
  <c r="AD72" i="1"/>
  <c r="AJ72" i="1"/>
  <c r="AL72" i="1"/>
  <c r="AN72" i="1"/>
  <c r="AP72" i="1"/>
  <c r="AR72" i="1"/>
  <c r="AT72" i="1"/>
  <c r="AV72" i="1"/>
  <c r="AX72" i="1"/>
  <c r="AZ72" i="1"/>
  <c r="BB72" i="1"/>
  <c r="BC72" i="1"/>
  <c r="BD72" i="1"/>
  <c r="BE72" i="1"/>
  <c r="BF72" i="1"/>
  <c r="BG72" i="1"/>
  <c r="J76" i="1"/>
  <c r="L76" i="1"/>
  <c r="N76" i="1"/>
  <c r="P76" i="1"/>
  <c r="R76" i="1"/>
  <c r="T76" i="1"/>
  <c r="V76" i="1"/>
  <c r="X76" i="1"/>
  <c r="Z76" i="1"/>
  <c r="AB76" i="1"/>
  <c r="AD76" i="1"/>
  <c r="AF76" i="1"/>
  <c r="AH76" i="1"/>
  <c r="AJ76" i="1"/>
  <c r="AL76" i="1"/>
  <c r="AN76" i="1"/>
  <c r="AP76" i="1"/>
  <c r="AR76" i="1"/>
  <c r="AT76" i="1"/>
  <c r="AV76" i="1"/>
  <c r="AX76" i="1"/>
  <c r="AZ76" i="1"/>
  <c r="BB76" i="1"/>
  <c r="BC76" i="1"/>
  <c r="BD76" i="1"/>
  <c r="BE76" i="1"/>
  <c r="BF76" i="1"/>
  <c r="BG76" i="1"/>
  <c r="J77" i="1"/>
  <c r="L77" i="1"/>
  <c r="N77" i="1"/>
  <c r="P77" i="1"/>
  <c r="R77" i="1"/>
  <c r="T77" i="1"/>
  <c r="V77" i="1"/>
  <c r="X77" i="1"/>
  <c r="Z77" i="1"/>
  <c r="AB77" i="1"/>
  <c r="AD77" i="1"/>
  <c r="AF77" i="1"/>
  <c r="AH77" i="1"/>
  <c r="AJ77" i="1"/>
  <c r="AL77" i="1"/>
  <c r="AN77" i="1"/>
  <c r="AP77" i="1"/>
  <c r="AR77" i="1"/>
  <c r="AT77" i="1"/>
  <c r="AV77" i="1"/>
  <c r="AX77" i="1"/>
  <c r="AZ77" i="1"/>
  <c r="BB77" i="1"/>
  <c r="BC77" i="1"/>
  <c r="BD77" i="1"/>
  <c r="BE77" i="1"/>
  <c r="BF77" i="1"/>
  <c r="BG77" i="1"/>
  <c r="J78" i="1"/>
  <c r="L78" i="1"/>
  <c r="N78" i="1"/>
  <c r="P78" i="1"/>
  <c r="R78" i="1"/>
  <c r="T78" i="1"/>
  <c r="V78" i="1"/>
  <c r="X78" i="1"/>
  <c r="Z78" i="1"/>
  <c r="AB78" i="1"/>
  <c r="AD78" i="1"/>
  <c r="AF78" i="1"/>
  <c r="AH78" i="1"/>
  <c r="AJ78" i="1"/>
  <c r="AL78" i="1"/>
  <c r="AN78" i="1"/>
  <c r="AP78" i="1"/>
  <c r="AR78" i="1"/>
  <c r="AT78" i="1"/>
  <c r="AV78" i="1"/>
  <c r="AX78" i="1"/>
  <c r="AZ78" i="1"/>
  <c r="BB78" i="1"/>
  <c r="BC78" i="1"/>
  <c r="BD78" i="1"/>
  <c r="BE78" i="1"/>
  <c r="BF78" i="1"/>
  <c r="BG78" i="1"/>
  <c r="J68" i="1"/>
  <c r="L68" i="1" s="1"/>
  <c r="N68" i="1" s="1"/>
  <c r="P68" i="1" s="1"/>
  <c r="R68" i="1" s="1"/>
  <c r="T68" i="1" s="1"/>
  <c r="V68" i="1" s="1"/>
  <c r="X68" i="1" s="1"/>
  <c r="Z68" i="1" s="1"/>
  <c r="AB68" i="1" s="1"/>
  <c r="AD68" i="1" s="1"/>
  <c r="AF68" i="1" s="1"/>
  <c r="AH68" i="1" s="1"/>
  <c r="AL68" i="1"/>
  <c r="AN68" i="1"/>
  <c r="AP68" i="1"/>
  <c r="AR68" i="1"/>
  <c r="AT68" i="1"/>
  <c r="AV68" i="1"/>
  <c r="AX68" i="1"/>
  <c r="AZ68" i="1"/>
  <c r="BB68" i="1"/>
  <c r="BF68" i="1" s="1"/>
  <c r="BC68" i="1"/>
  <c r="BD68" i="1"/>
  <c r="BE68" i="1"/>
  <c r="J63" i="1"/>
  <c r="L63" i="1"/>
  <c r="N63" i="1"/>
  <c r="P63" i="1"/>
  <c r="R63" i="1"/>
  <c r="T63" i="1"/>
  <c r="V63" i="1"/>
  <c r="X63" i="1"/>
  <c r="Z63" i="1"/>
  <c r="AB63" i="1"/>
  <c r="AD63" i="1"/>
  <c r="AF63" i="1"/>
  <c r="AH63" i="1"/>
  <c r="AJ63" i="1"/>
  <c r="AL63" i="1"/>
  <c r="AN63" i="1"/>
  <c r="AP63" i="1"/>
  <c r="AR63" i="1"/>
  <c r="AT63" i="1"/>
  <c r="AV63" i="1"/>
  <c r="AX63" i="1"/>
  <c r="AZ63" i="1"/>
  <c r="BB63" i="1"/>
  <c r="BG63" i="1" s="1"/>
  <c r="BC63" i="1"/>
  <c r="BD63" i="1"/>
  <c r="BE63" i="1"/>
  <c r="BF63" i="1"/>
  <c r="BB34" i="1"/>
  <c r="E41" i="1"/>
  <c r="BB49" i="1"/>
  <c r="BB50" i="1"/>
  <c r="BB51" i="1"/>
  <c r="BB48" i="1"/>
  <c r="BD48" i="1" s="1"/>
  <c r="BD50" i="1"/>
  <c r="BE50" i="1" s="1"/>
  <c r="AP36" i="1"/>
  <c r="AR36" i="1"/>
  <c r="J50" i="1"/>
  <c r="L50" i="1" s="1"/>
  <c r="N50" i="1"/>
  <c r="P50" i="1" s="1"/>
  <c r="R50" i="1" s="1"/>
  <c r="AX48" i="1"/>
  <c r="AZ48" i="1" s="1"/>
  <c r="AD48" i="1"/>
  <c r="J48" i="1"/>
  <c r="P48" i="1"/>
  <c r="R48" i="1" s="1"/>
  <c r="J51" i="1"/>
  <c r="L51" i="1"/>
  <c r="N51" i="1" s="1"/>
  <c r="P51" i="1" s="1"/>
  <c r="R51" i="1" s="1"/>
  <c r="T51" i="1" s="1"/>
  <c r="V51" i="1" s="1"/>
  <c r="X51" i="1" s="1"/>
  <c r="Z51" i="1" s="1"/>
  <c r="AB51" i="1" s="1"/>
  <c r="AD51" i="1" s="1"/>
  <c r="AF51" i="1" s="1"/>
  <c r="AH51" i="1" s="1"/>
  <c r="AJ51" i="1" s="1"/>
  <c r="AL51" i="1" s="1"/>
  <c r="AN51" i="1" s="1"/>
  <c r="AP51" i="1" s="1"/>
  <c r="AR51" i="1" s="1"/>
  <c r="AT51" i="1" s="1"/>
  <c r="AV51" i="1" s="1"/>
  <c r="AX51" i="1" s="1"/>
  <c r="J49" i="1"/>
  <c r="L49" i="1"/>
  <c r="N49" i="1" s="1"/>
  <c r="P49" i="1" s="1"/>
  <c r="R49" i="1" s="1"/>
  <c r="T49" i="1" s="1"/>
  <c r="V49" i="1" s="1"/>
  <c r="X49" i="1" s="1"/>
  <c r="Z49" i="1" s="1"/>
  <c r="AB49" i="1" s="1"/>
  <c r="AD49" i="1" s="1"/>
  <c r="AF49" i="1" s="1"/>
  <c r="AH49" i="1" s="1"/>
  <c r="AJ49" i="1" s="1"/>
  <c r="AL49" i="1" s="1"/>
  <c r="AN49" i="1" s="1"/>
  <c r="AP49" i="1" s="1"/>
  <c r="AR49" i="1" s="1"/>
  <c r="AT49" i="1" s="1"/>
  <c r="AV49" i="1" s="1"/>
  <c r="AX49" i="1" s="1"/>
  <c r="AD31" i="1"/>
  <c r="BD49" i="1"/>
  <c r="BB32" i="1"/>
  <c r="BE32" i="1" s="1"/>
  <c r="D43" i="1"/>
  <c r="E44" i="1"/>
  <c r="E43" i="1" s="1"/>
  <c r="BB24" i="1"/>
  <c r="BG24" i="1" s="1"/>
  <c r="BB23" i="1"/>
  <c r="BG23" i="1" s="1"/>
  <c r="BB22" i="1"/>
  <c r="BG22" i="1" s="1"/>
  <c r="J23" i="1"/>
  <c r="L23" i="1" s="1"/>
  <c r="N23" i="1" s="1"/>
  <c r="P23" i="1" s="1"/>
  <c r="R23" i="1" s="1"/>
  <c r="T23" i="1" s="1"/>
  <c r="V23" i="1" s="1"/>
  <c r="X23" i="1" s="1"/>
  <c r="Z23" i="1" s="1"/>
  <c r="AB23" i="1" s="1"/>
  <c r="AD23" i="1" s="1"/>
  <c r="AF23" i="1" s="1"/>
  <c r="AH23" i="1" s="1"/>
  <c r="AJ23" i="1" s="1"/>
  <c r="AL23" i="1" s="1"/>
  <c r="AN23" i="1" s="1"/>
  <c r="AP23" i="1" s="1"/>
  <c r="AR23" i="1" s="1"/>
  <c r="AT23" i="1" s="1"/>
  <c r="AX23" i="1"/>
  <c r="AV39" i="1"/>
  <c r="BB36" i="1"/>
  <c r="BE36" i="1" s="1"/>
  <c r="J34" i="1"/>
  <c r="L34" i="1" s="1"/>
  <c r="N34" i="1" s="1"/>
  <c r="P34" i="1" s="1"/>
  <c r="R34" i="1" s="1"/>
  <c r="T34" i="1" s="1"/>
  <c r="V34" i="1" s="1"/>
  <c r="X34" i="1" s="1"/>
  <c r="AB34" i="1" s="1"/>
  <c r="J40" i="1"/>
  <c r="L40" i="1" s="1"/>
  <c r="N40" i="1" s="1"/>
  <c r="P40" i="1" s="1"/>
  <c r="R40" i="1" s="1"/>
  <c r="T40" i="1" s="1"/>
  <c r="V40" i="1" s="1"/>
  <c r="X40" i="1" s="1"/>
  <c r="Z40" i="1" s="1"/>
  <c r="AB40" i="1" s="1"/>
  <c r="AD40" i="1" s="1"/>
  <c r="AF40" i="1" s="1"/>
  <c r="AH40" i="1" s="1"/>
  <c r="AJ40" i="1" s="1"/>
  <c r="AL40" i="1" s="1"/>
  <c r="AN40" i="1" s="1"/>
  <c r="AP40" i="1" s="1"/>
  <c r="AR40" i="1" s="1"/>
  <c r="AT40" i="1" s="1"/>
  <c r="AV40" i="1" s="1"/>
  <c r="AX40" i="1" s="1"/>
  <c r="AZ40" i="1" s="1"/>
  <c r="BB31" i="1"/>
  <c r="BE31" i="1" s="1"/>
  <c r="BB12" i="1"/>
  <c r="BC12" i="1" s="1"/>
  <c r="BD12" i="1" s="1"/>
  <c r="BE12" i="1" s="1"/>
  <c r="BB33" i="1"/>
  <c r="BE33" i="1" s="1"/>
  <c r="BD27" i="1"/>
  <c r="BE27" i="1" s="1"/>
  <c r="BD32" i="1"/>
  <c r="Z32" i="1"/>
  <c r="AB32" i="1" s="1"/>
  <c r="AD32" i="1" s="1"/>
  <c r="AF32" i="1" s="1"/>
  <c r="J31" i="1"/>
  <c r="L31" i="1" s="1"/>
  <c r="N31" i="1" s="1"/>
  <c r="P31" i="1" s="1"/>
  <c r="R31" i="1" s="1"/>
  <c r="V31" i="1" s="1"/>
  <c r="X31" i="1" s="1"/>
  <c r="AF31" i="1" s="1"/>
  <c r="AH31" i="1" s="1"/>
  <c r="AJ31" i="1" s="1"/>
  <c r="AL31" i="1" s="1"/>
  <c r="AN31" i="1" s="1"/>
  <c r="AP31" i="1" s="1"/>
  <c r="AR31" i="1" s="1"/>
  <c r="AT31" i="1" s="1"/>
  <c r="AV31" i="1" s="1"/>
  <c r="AX31" i="1" s="1"/>
  <c r="AZ31" i="1" s="1"/>
  <c r="BB13" i="1"/>
  <c r="BB15" i="1"/>
  <c r="BC15" i="1" s="1"/>
  <c r="BD15" i="1" s="1"/>
  <c r="BE15" i="1" s="1"/>
  <c r="J15" i="1"/>
  <c r="L15" i="1" s="1"/>
  <c r="N15" i="1" s="1"/>
  <c r="P15" i="1" s="1"/>
  <c r="R15" i="1" s="1"/>
  <c r="T15" i="1" s="1"/>
  <c r="V15" i="1" s="1"/>
  <c r="X15" i="1" s="1"/>
  <c r="Z15" i="1" s="1"/>
  <c r="AB15" i="1" s="1"/>
  <c r="AD15" i="1" s="1"/>
  <c r="AF15" i="1" s="1"/>
  <c r="AH15" i="1" s="1"/>
  <c r="AJ15" i="1" s="1"/>
  <c r="AL15" i="1" s="1"/>
  <c r="AN15" i="1" s="1"/>
  <c r="AP15" i="1" s="1"/>
  <c r="AR15" i="1" s="1"/>
  <c r="AT15" i="1" s="1"/>
  <c r="AV15" i="1" s="1"/>
  <c r="AX15" i="1" s="1"/>
  <c r="AZ15" i="1" s="1"/>
  <c r="H15" i="1"/>
  <c r="E10" i="1"/>
  <c r="L42" i="1"/>
  <c r="BB28" i="1"/>
  <c r="BG28" i="1" s="1"/>
  <c r="BB29" i="1"/>
  <c r="BB37" i="1"/>
  <c r="BE37" i="1" s="1"/>
  <c r="BB39" i="1"/>
  <c r="BE39" i="1" s="1"/>
  <c r="BB40" i="1"/>
  <c r="BE40" i="1" s="1"/>
  <c r="BB41" i="1"/>
  <c r="BB42" i="1"/>
  <c r="BF42" i="1" s="1"/>
  <c r="BB44" i="1"/>
  <c r="BB45" i="1"/>
  <c r="BC45" i="1" s="1"/>
  <c r="BD45" i="1" s="1"/>
  <c r="BB46" i="1"/>
  <c r="BC49" i="1"/>
  <c r="BF51" i="1"/>
  <c r="BB53" i="1"/>
  <c r="BD53" i="1" s="1"/>
  <c r="BB54" i="1"/>
  <c r="BD54" i="1" s="1"/>
  <c r="BB55" i="1"/>
  <c r="BD55" i="1" s="1"/>
  <c r="BB57" i="1"/>
  <c r="BC57" i="1" s="1"/>
  <c r="BB58" i="1"/>
  <c r="BB60" i="1"/>
  <c r="BB61" i="1"/>
  <c r="BB26" i="1"/>
  <c r="BG26" i="1" s="1"/>
  <c r="P42" i="1"/>
  <c r="R42" i="1" s="1"/>
  <c r="T42" i="1" s="1"/>
  <c r="V42" i="1" s="1"/>
  <c r="X42" i="1" s="1"/>
  <c r="Z42" i="1" s="1"/>
  <c r="AB42" i="1" s="1"/>
  <c r="AD42" i="1" s="1"/>
  <c r="AF42" i="1" s="1"/>
  <c r="J45" i="1"/>
  <c r="L45" i="1" s="1"/>
  <c r="N45" i="1" s="1"/>
  <c r="P45" i="1" s="1"/>
  <c r="R45" i="1" s="1"/>
  <c r="T45" i="1" s="1"/>
  <c r="V45" i="1" s="1"/>
  <c r="X45" i="1" s="1"/>
  <c r="Z45" i="1" s="1"/>
  <c r="AB45" i="1" s="1"/>
  <c r="AD45" i="1" s="1"/>
  <c r="AF45" i="1" s="1"/>
  <c r="AH45" i="1" s="1"/>
  <c r="AJ45" i="1" s="1"/>
  <c r="AL45" i="1" s="1"/>
  <c r="AN45" i="1" s="1"/>
  <c r="AP45" i="1" s="1"/>
  <c r="AR45" i="1" s="1"/>
  <c r="AT45" i="1" s="1"/>
  <c r="AZ45" i="1" s="1"/>
  <c r="J44" i="1"/>
  <c r="L44" i="1" s="1"/>
  <c r="N44" i="1" s="1"/>
  <c r="P44" i="1" s="1"/>
  <c r="R44" i="1" s="1"/>
  <c r="T44" i="1" s="1"/>
  <c r="V44" i="1" s="1"/>
  <c r="X44" i="1" s="1"/>
  <c r="Z44" i="1" s="1"/>
  <c r="AB44" i="1" s="1"/>
  <c r="AD44" i="1" s="1"/>
  <c r="AF44" i="1" s="1"/>
  <c r="AH44" i="1" s="1"/>
  <c r="AJ44" i="1" s="1"/>
  <c r="AL44" i="1" s="1"/>
  <c r="AN44" i="1" s="1"/>
  <c r="AP44" i="1" s="1"/>
  <c r="AR44" i="1" s="1"/>
  <c r="AT44" i="1" s="1"/>
  <c r="AV44" i="1" s="1"/>
  <c r="AX44" i="1" s="1"/>
  <c r="J55" i="1"/>
  <c r="L55" i="1" s="1"/>
  <c r="N55" i="1" s="1"/>
  <c r="P55" i="1" s="1"/>
  <c r="R55" i="1" s="1"/>
  <c r="T55" i="1" s="1"/>
  <c r="V55" i="1" s="1"/>
  <c r="X55" i="1" s="1"/>
  <c r="Z55" i="1" s="1"/>
  <c r="AB55" i="1" s="1"/>
  <c r="AD55" i="1" s="1"/>
  <c r="AF55" i="1" s="1"/>
  <c r="AH55" i="1" s="1"/>
  <c r="AJ55" i="1" s="1"/>
  <c r="AL55" i="1" s="1"/>
  <c r="AN55" i="1" s="1"/>
  <c r="AP55" i="1" s="1"/>
  <c r="AR55" i="1" s="1"/>
  <c r="AT55" i="1" s="1"/>
  <c r="AV55" i="1" s="1"/>
  <c r="AX55" i="1" s="1"/>
  <c r="AZ55" i="1" s="1"/>
  <c r="J60" i="1"/>
  <c r="L60" i="1" s="1"/>
  <c r="N60" i="1" s="1"/>
  <c r="P60" i="1" s="1"/>
  <c r="R60" i="1" s="1"/>
  <c r="T60" i="1" s="1"/>
  <c r="V60" i="1" s="1"/>
  <c r="X60" i="1" s="1"/>
  <c r="Z60" i="1" s="1"/>
  <c r="AB60" i="1" s="1"/>
  <c r="AD60" i="1" s="1"/>
  <c r="AF60" i="1" s="1"/>
  <c r="AH60" i="1" s="1"/>
  <c r="AJ60" i="1" s="1"/>
  <c r="AL60" i="1" s="1"/>
  <c r="AN60" i="1" s="1"/>
  <c r="AP60" i="1" s="1"/>
  <c r="AR60" i="1" s="1"/>
  <c r="AT60" i="1" s="1"/>
  <c r="AV60" i="1" s="1"/>
  <c r="AX60" i="1" s="1"/>
  <c r="AZ60" i="1" s="1"/>
  <c r="J61" i="1"/>
  <c r="L61" i="1" s="1"/>
  <c r="N61" i="1" s="1"/>
  <c r="P61" i="1" s="1"/>
  <c r="R61" i="1" s="1"/>
  <c r="T61" i="1" s="1"/>
  <c r="V61" i="1" s="1"/>
  <c r="X61" i="1" s="1"/>
  <c r="Z61" i="1" s="1"/>
  <c r="AB61" i="1" s="1"/>
  <c r="AD61" i="1" s="1"/>
  <c r="AF61" i="1" s="1"/>
  <c r="AH61" i="1" s="1"/>
  <c r="AJ61" i="1" s="1"/>
  <c r="AL61" i="1" s="1"/>
  <c r="AN61" i="1" s="1"/>
  <c r="AP61" i="1" s="1"/>
  <c r="AR61" i="1" s="1"/>
  <c r="AT61" i="1" s="1"/>
  <c r="AV61" i="1" s="1"/>
  <c r="AX61" i="1" s="1"/>
  <c r="AZ61" i="1" s="1"/>
  <c r="J57" i="1"/>
  <c r="L57" i="1" s="1"/>
  <c r="N57" i="1" s="1"/>
  <c r="P57" i="1" s="1"/>
  <c r="R57" i="1" s="1"/>
  <c r="T57" i="1" s="1"/>
  <c r="V57" i="1" s="1"/>
  <c r="X57" i="1" s="1"/>
  <c r="Z57" i="1" s="1"/>
  <c r="AB57" i="1" s="1"/>
  <c r="AD57" i="1" s="1"/>
  <c r="AF57" i="1" s="1"/>
  <c r="AH57" i="1" s="1"/>
  <c r="AJ57" i="1" s="1"/>
  <c r="AL57" i="1" s="1"/>
  <c r="AN57" i="1" s="1"/>
  <c r="AP57" i="1" s="1"/>
  <c r="AR57" i="1" s="1"/>
  <c r="AT57" i="1" s="1"/>
  <c r="AV57" i="1" s="1"/>
  <c r="AX57" i="1" s="1"/>
  <c r="AZ57" i="1" s="1"/>
  <c r="J58" i="1"/>
  <c r="L58" i="1" s="1"/>
  <c r="N58" i="1" s="1"/>
  <c r="P58" i="1" s="1"/>
  <c r="R58" i="1" s="1"/>
  <c r="T58" i="1" s="1"/>
  <c r="V58" i="1" s="1"/>
  <c r="X58" i="1" s="1"/>
  <c r="Z58" i="1" s="1"/>
  <c r="AB58" i="1" s="1"/>
  <c r="AD58" i="1" s="1"/>
  <c r="AF58" i="1" s="1"/>
  <c r="AH58" i="1" s="1"/>
  <c r="AJ58" i="1" s="1"/>
  <c r="AL58" i="1" s="1"/>
  <c r="AN58" i="1" s="1"/>
  <c r="AP58" i="1" s="1"/>
  <c r="AR58" i="1" s="1"/>
  <c r="AT58" i="1" s="1"/>
  <c r="AV58" i="1" s="1"/>
  <c r="AX58" i="1" s="1"/>
  <c r="AZ58" i="1" s="1"/>
  <c r="J29" i="1"/>
  <c r="L29" i="1" s="1"/>
  <c r="N29" i="1" s="1"/>
  <c r="P29" i="1" s="1"/>
  <c r="R29" i="1" s="1"/>
  <c r="T29" i="1" s="1"/>
  <c r="V29" i="1" s="1"/>
  <c r="X29" i="1" s="1"/>
  <c r="Z29" i="1" s="1"/>
  <c r="AB29" i="1" s="1"/>
  <c r="AD29" i="1" s="1"/>
  <c r="AF29" i="1" s="1"/>
  <c r="AH29" i="1" s="1"/>
  <c r="AJ29" i="1" s="1"/>
  <c r="AL29" i="1" s="1"/>
  <c r="AN29" i="1" s="1"/>
  <c r="AP29" i="1" s="1"/>
  <c r="AR29" i="1" s="1"/>
  <c r="AT29" i="1" s="1"/>
  <c r="AX29" i="1" s="1"/>
  <c r="AZ29" i="1" s="1"/>
  <c r="J33" i="1"/>
  <c r="L33" i="1" s="1"/>
  <c r="N33" i="1" s="1"/>
  <c r="P33" i="1" s="1"/>
  <c r="R33" i="1" s="1"/>
  <c r="T33" i="1" s="1"/>
  <c r="V33" i="1" s="1"/>
  <c r="Z33" i="1" s="1"/>
  <c r="AB33" i="1" s="1"/>
  <c r="J36" i="1"/>
  <c r="J37" i="1"/>
  <c r="L37" i="1" s="1"/>
  <c r="N37" i="1" s="1"/>
  <c r="P37" i="1" s="1"/>
  <c r="R37" i="1" s="1"/>
  <c r="T37" i="1" s="1"/>
  <c r="V37" i="1" s="1"/>
  <c r="X37" i="1" s="1"/>
  <c r="Z37" i="1" s="1"/>
  <c r="AB37" i="1" s="1"/>
  <c r="AD37" i="1" s="1"/>
  <c r="AF37" i="1" s="1"/>
  <c r="AH37" i="1" s="1"/>
  <c r="AJ37" i="1" s="1"/>
  <c r="AL37" i="1" s="1"/>
  <c r="AN37" i="1" s="1"/>
  <c r="AP37" i="1" s="1"/>
  <c r="AR37" i="1" s="1"/>
  <c r="J39" i="1"/>
  <c r="L39" i="1" s="1"/>
  <c r="N39" i="1" s="1"/>
  <c r="P39" i="1" s="1"/>
  <c r="T39" i="1" s="1"/>
  <c r="V39" i="1" s="1"/>
  <c r="X39" i="1" s="1"/>
  <c r="Z39" i="1" s="1"/>
  <c r="AB39" i="1" s="1"/>
  <c r="AD39" i="1" s="1"/>
  <c r="AH39" i="1" s="1"/>
  <c r="AJ39" i="1" s="1"/>
  <c r="AL39" i="1" s="1"/>
  <c r="AN39" i="1" s="1"/>
  <c r="AP39" i="1" s="1"/>
  <c r="AR39" i="1" s="1"/>
  <c r="J41" i="1"/>
  <c r="L41" i="1" s="1"/>
  <c r="N41" i="1" s="1"/>
  <c r="P41" i="1" s="1"/>
  <c r="J46" i="1"/>
  <c r="L46" i="1" s="1"/>
  <c r="N46" i="1" s="1"/>
  <c r="P46" i="1" s="1"/>
  <c r="R46" i="1" s="1"/>
  <c r="T46" i="1" s="1"/>
  <c r="V46" i="1" s="1"/>
  <c r="X46" i="1" s="1"/>
  <c r="Z46" i="1" s="1"/>
  <c r="AB46" i="1" s="1"/>
  <c r="AD46" i="1" s="1"/>
  <c r="AF46" i="1" s="1"/>
  <c r="AH46" i="1" s="1"/>
  <c r="AJ46" i="1" s="1"/>
  <c r="AL46" i="1" s="1"/>
  <c r="AN46" i="1" s="1"/>
  <c r="AP46" i="1" s="1"/>
  <c r="AR46" i="1" s="1"/>
  <c r="AT46" i="1" s="1"/>
  <c r="AV46" i="1" s="1"/>
  <c r="AX46" i="1" s="1"/>
  <c r="AZ49" i="1"/>
  <c r="AZ51" i="1"/>
  <c r="J53" i="1"/>
  <c r="L53" i="1" s="1"/>
  <c r="N53" i="1" s="1"/>
  <c r="P53" i="1" s="1"/>
  <c r="R53" i="1" s="1"/>
  <c r="T53" i="1" s="1"/>
  <c r="V53" i="1" s="1"/>
  <c r="X53" i="1" s="1"/>
  <c r="Z53" i="1" s="1"/>
  <c r="AB53" i="1" s="1"/>
  <c r="AD53" i="1" s="1"/>
  <c r="AF53" i="1" s="1"/>
  <c r="AH53" i="1" s="1"/>
  <c r="AJ53" i="1" s="1"/>
  <c r="AL53" i="1" s="1"/>
  <c r="AN53" i="1" s="1"/>
  <c r="L54" i="1"/>
  <c r="N54" i="1" s="1"/>
  <c r="P54" i="1" s="1"/>
  <c r="R54" i="1" s="1"/>
  <c r="T54" i="1" s="1"/>
  <c r="V54" i="1" s="1"/>
  <c r="X54" i="1" s="1"/>
  <c r="Z54" i="1" s="1"/>
  <c r="AB54" i="1" s="1"/>
  <c r="AD54" i="1" s="1"/>
  <c r="AF54" i="1" s="1"/>
  <c r="AH54" i="1" s="1"/>
  <c r="AJ54" i="1" s="1"/>
  <c r="AL54" i="1" s="1"/>
  <c r="AN54" i="1" s="1"/>
  <c r="AP54" i="1" s="1"/>
  <c r="AR54" i="1" s="1"/>
  <c r="AT54" i="1" s="1"/>
  <c r="AV54" i="1" s="1"/>
  <c r="AX54" i="1" s="1"/>
  <c r="AZ54" i="1" s="1"/>
  <c r="J28" i="1"/>
  <c r="L28" i="1" s="1"/>
  <c r="N28" i="1" s="1"/>
  <c r="P28" i="1" s="1"/>
  <c r="R28" i="1" s="1"/>
  <c r="T28" i="1" s="1"/>
  <c r="V28" i="1" s="1"/>
  <c r="X28" i="1" s="1"/>
  <c r="Z28" i="1" s="1"/>
  <c r="AB28" i="1" s="1"/>
  <c r="AD28" i="1" s="1"/>
  <c r="AF28" i="1" s="1"/>
  <c r="AH28" i="1" s="1"/>
  <c r="AJ28" i="1" s="1"/>
  <c r="AL28" i="1" s="1"/>
  <c r="AN28" i="1" s="1"/>
  <c r="AP28" i="1" s="1"/>
  <c r="AR28" i="1" s="1"/>
  <c r="AV28" i="1" s="1"/>
  <c r="AX28" i="1" s="1"/>
  <c r="AZ28" i="1" s="1"/>
  <c r="J26" i="1"/>
  <c r="L26" i="1" s="1"/>
  <c r="N26" i="1" s="1"/>
  <c r="P26" i="1" s="1"/>
  <c r="R26" i="1" s="1"/>
  <c r="T26" i="1" s="1"/>
  <c r="V26" i="1" s="1"/>
  <c r="X26" i="1" s="1"/>
  <c r="Z26" i="1" s="1"/>
  <c r="AB26" i="1" s="1"/>
  <c r="AD26" i="1" s="1"/>
  <c r="AF26" i="1" s="1"/>
  <c r="AH26" i="1" s="1"/>
  <c r="AJ26" i="1" s="1"/>
  <c r="AL26" i="1" s="1"/>
  <c r="AN26" i="1" s="1"/>
  <c r="AP26" i="1" s="1"/>
  <c r="AR26" i="1" s="1"/>
  <c r="AT26" i="1" s="1"/>
  <c r="AX26" i="1" s="1"/>
  <c r="AZ26" i="1" s="1"/>
  <c r="J19" i="1"/>
  <c r="L19" i="1" s="1"/>
  <c r="N19" i="1" s="1"/>
  <c r="P19" i="1" s="1"/>
  <c r="R19" i="1" s="1"/>
  <c r="T19" i="1" s="1"/>
  <c r="V19" i="1" s="1"/>
  <c r="X19" i="1" s="1"/>
  <c r="Z19" i="1" s="1"/>
  <c r="AB19" i="1" s="1"/>
  <c r="AD19" i="1" s="1"/>
  <c r="AF19" i="1" s="1"/>
  <c r="AH19" i="1" s="1"/>
  <c r="AJ19" i="1" s="1"/>
  <c r="AL19" i="1" s="1"/>
  <c r="AN19" i="1" s="1"/>
  <c r="AP19" i="1" s="1"/>
  <c r="AR19" i="1" s="1"/>
  <c r="AT19" i="1" s="1"/>
  <c r="AV19" i="1" s="1"/>
  <c r="AX19" i="1" s="1"/>
  <c r="AZ19" i="1" s="1"/>
  <c r="H19" i="1"/>
  <c r="I10" i="1"/>
  <c r="BF114" i="1" l="1"/>
  <c r="BG114" i="1"/>
  <c r="BF116" i="1"/>
  <c r="BG116" i="1"/>
  <c r="BG122" i="1"/>
  <c r="BF122" i="1"/>
  <c r="BC129" i="1"/>
  <c r="BD129" i="1" s="1"/>
  <c r="BE129" i="1" s="1"/>
  <c r="BF129" i="1"/>
  <c r="BF127" i="1"/>
  <c r="BC127" i="1"/>
  <c r="BD127" i="1" s="1"/>
  <c r="BE127" i="1" s="1"/>
  <c r="BC126" i="1"/>
  <c r="BD126" i="1" s="1"/>
  <c r="BE126" i="1" s="1"/>
  <c r="BF126" i="1"/>
  <c r="BC124" i="1"/>
  <c r="BD124" i="1" s="1"/>
  <c r="BE124" i="1" s="1"/>
  <c r="BF124" i="1"/>
  <c r="BC122" i="1"/>
  <c r="BD122" i="1" s="1"/>
  <c r="BE122" i="1" s="1"/>
  <c r="BC121" i="1"/>
  <c r="BD121" i="1" s="1"/>
  <c r="BE121" i="1" s="1"/>
  <c r="BF121" i="1"/>
  <c r="BC120" i="1"/>
  <c r="BD120" i="1" s="1"/>
  <c r="BE120" i="1" s="1"/>
  <c r="BF120" i="1"/>
  <c r="BC118" i="1"/>
  <c r="BD118" i="1" s="1"/>
  <c r="BE118" i="1" s="1"/>
  <c r="BF118" i="1"/>
  <c r="BC116" i="1"/>
  <c r="BD116" i="1" s="1"/>
  <c r="BE116" i="1" s="1"/>
  <c r="BC115" i="1"/>
  <c r="BD115" i="1" s="1"/>
  <c r="BE115" i="1" s="1"/>
  <c r="BF115" i="1"/>
  <c r="BC114" i="1"/>
  <c r="BD114" i="1" s="1"/>
  <c r="BE114" i="1" s="1"/>
  <c r="BG104" i="1"/>
  <c r="BF85" i="1"/>
  <c r="BC85" i="1"/>
  <c r="BD85" i="1" s="1"/>
  <c r="BE85" i="1" s="1"/>
  <c r="BF104" i="1"/>
  <c r="BG68" i="1"/>
  <c r="BG83" i="1"/>
  <c r="BG87" i="1"/>
  <c r="BG102" i="1"/>
  <c r="BF102" i="1"/>
  <c r="D80" i="1"/>
  <c r="BC80" i="1" s="1"/>
  <c r="BD80" i="1" s="1"/>
  <c r="BE80" i="1" s="1"/>
  <c r="BC79" i="1"/>
  <c r="BD79" i="1" s="1"/>
  <c r="BE79" i="1" s="1"/>
  <c r="BF74" i="1"/>
  <c r="BG74" i="1"/>
  <c r="BC74" i="1"/>
  <c r="BD74" i="1" s="1"/>
  <c r="BE74" i="1" s="1"/>
  <c r="BF73" i="1"/>
  <c r="BG73" i="1"/>
  <c r="BC73" i="1"/>
  <c r="BD73" i="1" s="1"/>
  <c r="BE73" i="1" s="1"/>
  <c r="AT37" i="1"/>
  <c r="AV37" i="1" s="1"/>
  <c r="AX37" i="1" s="1"/>
  <c r="AZ37" i="1" s="1"/>
  <c r="AD34" i="1"/>
  <c r="AF34" i="1" s="1"/>
  <c r="AH34" i="1" s="1"/>
  <c r="AJ34" i="1" s="1"/>
  <c r="BG34" i="1"/>
  <c r="BF34" i="1"/>
  <c r="BE34" i="1"/>
  <c r="BC34" i="1"/>
  <c r="BD34" i="1" s="1"/>
  <c r="AZ46" i="1"/>
  <c r="AZ44" i="1"/>
  <c r="AP53" i="1"/>
  <c r="AR53" i="1" s="1"/>
  <c r="AT53" i="1" s="1"/>
  <c r="AV53" i="1" s="1"/>
  <c r="AX53" i="1" s="1"/>
  <c r="AZ53" i="1" s="1"/>
  <c r="AF33" i="1"/>
  <c r="AJ33" i="1" s="1"/>
  <c r="AL33" i="1" s="1"/>
  <c r="AP33" i="1" s="1"/>
  <c r="BG50" i="1"/>
  <c r="BC51" i="1"/>
  <c r="BG51" i="1"/>
  <c r="BC50" i="1"/>
  <c r="BF50" i="1"/>
  <c r="T50" i="1"/>
  <c r="AF48" i="1"/>
  <c r="AJ48" i="1" s="1"/>
  <c r="AN48" i="1" s="1"/>
  <c r="AR48" i="1" s="1"/>
  <c r="BD51" i="1"/>
  <c r="BE51" i="1" s="1"/>
  <c r="AX39" i="1"/>
  <c r="AZ39" i="1" s="1"/>
  <c r="BF41" i="1"/>
  <c r="AT33" i="1"/>
  <c r="AV33" i="1" s="1"/>
  <c r="AX33" i="1" s="1"/>
  <c r="AZ33" i="1" s="1"/>
  <c r="AL34" i="1"/>
  <c r="AN34" i="1" s="1"/>
  <c r="AP34" i="1" s="1"/>
  <c r="AR34" i="1" s="1"/>
  <c r="AT34" i="1" s="1"/>
  <c r="AV34" i="1" s="1"/>
  <c r="L36" i="1"/>
  <c r="N36" i="1" s="1"/>
  <c r="P36" i="1" s="1"/>
  <c r="R36" i="1" s="1"/>
  <c r="T36" i="1" s="1"/>
  <c r="V36" i="1" s="1"/>
  <c r="X36" i="1" s="1"/>
  <c r="Z36" i="1" s="1"/>
  <c r="AB36" i="1" s="1"/>
  <c r="AD36" i="1" s="1"/>
  <c r="AF36" i="1" s="1"/>
  <c r="AH36" i="1" s="1"/>
  <c r="AJ36" i="1" s="1"/>
  <c r="AL36" i="1" s="1"/>
  <c r="AT36" i="1" s="1"/>
  <c r="AV36" i="1" s="1"/>
  <c r="AX36" i="1" s="1"/>
  <c r="AZ36" i="1" s="1"/>
  <c r="BG15" i="1"/>
  <c r="BF15" i="1"/>
  <c r="BE42" i="1"/>
  <c r="BE41" i="1"/>
  <c r="AH32" i="1"/>
  <c r="AJ32" i="1" s="1"/>
  <c r="AL32" i="1" s="1"/>
  <c r="AN32" i="1" s="1"/>
  <c r="AP32" i="1" s="1"/>
  <c r="AR32" i="1" s="1"/>
  <c r="AT32" i="1" s="1"/>
  <c r="BF39" i="1"/>
  <c r="BC13" i="1"/>
  <c r="AH42" i="1"/>
  <c r="AJ42" i="1" s="1"/>
  <c r="AL42" i="1" s="1"/>
  <c r="AN42" i="1" s="1"/>
  <c r="AP42" i="1" s="1"/>
  <c r="AR42" i="1" s="1"/>
  <c r="AT42" i="1" s="1"/>
  <c r="AX42" i="1" s="1"/>
  <c r="BG19" i="1"/>
  <c r="BF19" i="1"/>
  <c r="BC19" i="1"/>
  <c r="BD19" i="1" s="1"/>
  <c r="BE19" i="1" s="1"/>
  <c r="BF26" i="1"/>
  <c r="BC26" i="1"/>
  <c r="BD26" i="1" s="1"/>
  <c r="BE26" i="1" s="1"/>
  <c r="BF61" i="1"/>
  <c r="BG61" i="1"/>
  <c r="BC61" i="1"/>
  <c r="BD61" i="1" s="1"/>
  <c r="BE61" i="1" s="1"/>
  <c r="BF60" i="1"/>
  <c r="BG60" i="1"/>
  <c r="BC60" i="1"/>
  <c r="BD60" i="1" s="1"/>
  <c r="BE60" i="1" s="1"/>
  <c r="BF58" i="1"/>
  <c r="BG58" i="1"/>
  <c r="BC58" i="1"/>
  <c r="BD58" i="1" s="1"/>
  <c r="BE58" i="1" s="1"/>
  <c r="BF57" i="1"/>
  <c r="BG57" i="1"/>
  <c r="BD57" i="1"/>
  <c r="BE57" i="1" s="1"/>
  <c r="BF55" i="1"/>
  <c r="BG55" i="1"/>
  <c r="BC55" i="1"/>
  <c r="BE55" i="1" s="1"/>
  <c r="BF54" i="1"/>
  <c r="BG54" i="1"/>
  <c r="BC54" i="1"/>
  <c r="BE54" i="1" s="1"/>
  <c r="BF53" i="1"/>
  <c r="BG53" i="1"/>
  <c r="BC53" i="1"/>
  <c r="BE53" i="1" s="1"/>
  <c r="BF49" i="1"/>
  <c r="BG49" i="1"/>
  <c r="BF48" i="1"/>
  <c r="BG48" i="1"/>
  <c r="BC48" i="1"/>
  <c r="BE48" i="1" s="1"/>
  <c r="BF46" i="1"/>
  <c r="BG46" i="1"/>
  <c r="BC46" i="1"/>
  <c r="BF45" i="1"/>
  <c r="BG45" i="1"/>
  <c r="BE45" i="1"/>
  <c r="BF44" i="1"/>
  <c r="BG44" i="1"/>
  <c r="BC44" i="1"/>
  <c r="BD44" i="1" s="1"/>
  <c r="BE44" i="1" s="1"/>
  <c r="BF37" i="1"/>
  <c r="BG37" i="1"/>
  <c r="BC37" i="1"/>
  <c r="BD37" i="1" s="1"/>
  <c r="BF36" i="1"/>
  <c r="BG36" i="1"/>
  <c r="BC36" i="1"/>
  <c r="BD36" i="1" s="1"/>
  <c r="BF33" i="1"/>
  <c r="BG33" i="1"/>
  <c r="BC33" i="1"/>
  <c r="BD33" i="1" s="1"/>
  <c r="BF31" i="1"/>
  <c r="BG31" i="1"/>
  <c r="BC31" i="1"/>
  <c r="BD31" i="1" s="1"/>
  <c r="BF29" i="1"/>
  <c r="BG29" i="1"/>
  <c r="BC29" i="1"/>
  <c r="BD29" i="1" s="1"/>
  <c r="BE29" i="1" s="1"/>
  <c r="BF28" i="1"/>
  <c r="BC28" i="1"/>
  <c r="BD28" i="1" s="1"/>
  <c r="BE28" i="1" s="1"/>
  <c r="BG40" i="1"/>
  <c r="BF40" i="1"/>
  <c r="BC42" i="1"/>
  <c r="BD42" i="1" s="1"/>
  <c r="BG42" i="1"/>
  <c r="R41" i="1"/>
  <c r="T41" i="1" s="1"/>
  <c r="V41" i="1" s="1"/>
  <c r="X41" i="1" s="1"/>
  <c r="Z41" i="1" s="1"/>
  <c r="AB41" i="1" s="1"/>
  <c r="AD41" i="1" s="1"/>
  <c r="AH41" i="1" s="1"/>
  <c r="AJ41" i="1" s="1"/>
  <c r="AL41" i="1" s="1"/>
  <c r="AN41" i="1" s="1"/>
  <c r="AP41" i="1" s="1"/>
  <c r="AR41" i="1" s="1"/>
  <c r="AT41" i="1" s="1"/>
  <c r="AX41" i="1" s="1"/>
  <c r="AZ41" i="1" s="1"/>
  <c r="BC41" i="1"/>
  <c r="BD41" i="1" s="1"/>
  <c r="BG41" i="1"/>
  <c r="BC40" i="1"/>
  <c r="BD40" i="1" s="1"/>
  <c r="BG39" i="1"/>
  <c r="BC39" i="1"/>
  <c r="BD39" i="1" s="1"/>
  <c r="H14" i="1"/>
  <c r="G10" i="1"/>
  <c r="BE9" i="1" s="1"/>
  <c r="D6" i="2"/>
  <c r="F10" i="1" s="1"/>
  <c r="BD9" i="1" s="1"/>
  <c r="D5" i="2"/>
  <c r="D4" i="2"/>
  <c r="H10" i="1" s="1"/>
  <c r="BD13" i="1" l="1"/>
  <c r="BE13" i="1" s="1"/>
  <c r="BD46" i="1"/>
  <c r="BE46" i="1" s="1"/>
  <c r="V50" i="1"/>
  <c r="AV32" i="1"/>
  <c r="AX32" i="1" s="1"/>
  <c r="AZ32" i="1" s="1"/>
  <c r="AX34" i="1"/>
  <c r="AZ34" i="1" s="1"/>
  <c r="BE49" i="1"/>
  <c r="H20" i="1"/>
  <c r="H18" i="1"/>
  <c r="H17" i="1"/>
  <c r="H13" i="1"/>
  <c r="BB20" i="1"/>
  <c r="BB14" i="1"/>
  <c r="D3" i="2"/>
  <c r="BF9" i="1" s="1"/>
  <c r="BG9" i="1"/>
  <c r="D2" i="2"/>
  <c r="D10" i="1" s="1"/>
  <c r="BC9" i="1" s="1"/>
  <c r="BF12" i="1" l="1"/>
  <c r="BF17" i="1"/>
  <c r="BF18" i="1"/>
  <c r="BC20" i="1"/>
  <c r="BD20" i="1" s="1"/>
  <c r="BE20" i="1" s="1"/>
  <c r="BF22" i="1"/>
  <c r="BC22" i="1"/>
  <c r="BD22" i="1" s="1"/>
  <c r="BE22" i="1" s="1"/>
  <c r="BG18" i="1"/>
  <c r="BG20" i="1"/>
  <c r="BF20" i="1"/>
  <c r="BG17" i="1"/>
  <c r="BC17" i="1"/>
  <c r="BD17" i="1" s="1"/>
  <c r="BE17" i="1" s="1"/>
  <c r="BC18" i="1"/>
  <c r="BD18" i="1" s="1"/>
  <c r="BE18" i="1" s="1"/>
  <c r="BF13" i="1"/>
  <c r="BG13" i="1"/>
  <c r="BB10" i="1"/>
  <c r="BC14" i="1"/>
  <c r="BG14" i="1"/>
  <c r="BF14" i="1"/>
  <c r="BG12" i="1"/>
  <c r="J22" i="1"/>
  <c r="J20" i="1"/>
  <c r="J18" i="1"/>
  <c r="J17" i="1"/>
  <c r="J14" i="1"/>
  <c r="L14" i="1" s="1"/>
  <c r="N14" i="1" s="1"/>
  <c r="P14" i="1" s="1"/>
  <c r="R14" i="1" s="1"/>
  <c r="T14" i="1" s="1"/>
  <c r="V14" i="1" s="1"/>
  <c r="X14" i="1" s="1"/>
  <c r="Z14" i="1" s="1"/>
  <c r="AB14" i="1" s="1"/>
  <c r="AD14" i="1" s="1"/>
  <c r="AF14" i="1" s="1"/>
  <c r="AH14" i="1" s="1"/>
  <c r="AJ14" i="1" s="1"/>
  <c r="AN14" i="1" s="1"/>
  <c r="AP14" i="1" s="1"/>
  <c r="AT14" i="1" s="1"/>
  <c r="AV14" i="1" s="1"/>
  <c r="AX14" i="1" s="1"/>
  <c r="AZ14" i="1" s="1"/>
  <c r="J13" i="1"/>
  <c r="L13" i="1" s="1"/>
  <c r="J12" i="1"/>
  <c r="W10" i="1"/>
  <c r="O3" i="1" s="1"/>
  <c r="U10" i="1"/>
  <c r="N3" i="1" s="1"/>
  <c r="S10" i="1"/>
  <c r="M3" i="1" s="1"/>
  <c r="Q10" i="1"/>
  <c r="L3" i="1" s="1"/>
  <c r="O10" i="1"/>
  <c r="K3" i="1" s="1"/>
  <c r="M10" i="1"/>
  <c r="J3" i="1" s="1"/>
  <c r="K10" i="1"/>
  <c r="I3" i="1" s="1"/>
  <c r="AZ9" i="1"/>
  <c r="J9" i="1"/>
  <c r="L9" i="1" s="1"/>
  <c r="N9" i="1" s="1"/>
  <c r="P9" i="1" s="1"/>
  <c r="R9" i="1" s="1"/>
  <c r="T9" i="1" s="1"/>
  <c r="V9" i="1" s="1"/>
  <c r="X9" i="1" s="1"/>
  <c r="Z9" i="1" s="1"/>
  <c r="AB9" i="1" s="1"/>
  <c r="AD9" i="1" s="1"/>
  <c r="AF9" i="1" s="1"/>
  <c r="AH9" i="1" s="1"/>
  <c r="AJ9" i="1" s="1"/>
  <c r="AL9" i="1" s="1"/>
  <c r="AN9" i="1" s="1"/>
  <c r="AP9" i="1" s="1"/>
  <c r="AD3" i="1"/>
  <c r="AC3" i="1"/>
  <c r="BD14" i="1" l="1"/>
  <c r="BE14" i="1" s="1"/>
  <c r="BC10" i="1"/>
  <c r="X50" i="1"/>
  <c r="AR9" i="1"/>
  <c r="AT9" i="1" s="1"/>
  <c r="AV9" i="1" s="1"/>
  <c r="N13" i="1"/>
  <c r="P13" i="1" s="1"/>
  <c r="R13" i="1" s="1"/>
  <c r="T13" i="1" s="1"/>
  <c r="V13" i="1" s="1"/>
  <c r="X13" i="1" s="1"/>
  <c r="Z13" i="1" s="1"/>
  <c r="AB13" i="1" s="1"/>
  <c r="AD13" i="1" s="1"/>
  <c r="AF13" i="1" s="1"/>
  <c r="AH13" i="1" s="1"/>
  <c r="AJ13" i="1" s="1"/>
  <c r="BE10" i="1"/>
  <c r="BD10" i="1"/>
  <c r="BF10" i="1"/>
  <c r="BG10" i="1"/>
  <c r="L17" i="1"/>
  <c r="L18" i="1"/>
  <c r="N18" i="1" s="1"/>
  <c r="P18" i="1" s="1"/>
  <c r="R18" i="1" s="1"/>
  <c r="T18" i="1" s="1"/>
  <c r="V18" i="1" s="1"/>
  <c r="X18" i="1" s="1"/>
  <c r="Z18" i="1" s="1"/>
  <c r="AB18" i="1" s="1"/>
  <c r="AD18" i="1" s="1"/>
  <c r="AF18" i="1" s="1"/>
  <c r="AH18" i="1" s="1"/>
  <c r="AJ18" i="1" s="1"/>
  <c r="AL18" i="1" s="1"/>
  <c r="AN18" i="1" s="1"/>
  <c r="AP18" i="1" s="1"/>
  <c r="AR18" i="1" s="1"/>
  <c r="AT18" i="1" s="1"/>
  <c r="AV18" i="1" s="1"/>
  <c r="AX18" i="1" s="1"/>
  <c r="AZ18" i="1" s="1"/>
  <c r="L20" i="1"/>
  <c r="N20" i="1" s="1"/>
  <c r="L22" i="1"/>
  <c r="N22" i="1" s="1"/>
  <c r="P22" i="1" s="1"/>
  <c r="R22" i="1" s="1"/>
  <c r="T22" i="1" s="1"/>
  <c r="V22" i="1" s="1"/>
  <c r="X22" i="1" s="1"/>
  <c r="Z22" i="1" s="1"/>
  <c r="AB22" i="1" s="1"/>
  <c r="AD22" i="1" s="1"/>
  <c r="AF22" i="1" s="1"/>
  <c r="AH22" i="1" s="1"/>
  <c r="AJ22" i="1" s="1"/>
  <c r="AL22" i="1" s="1"/>
  <c r="AN22" i="1" s="1"/>
  <c r="AR22" i="1" s="1"/>
  <c r="AT22" i="1" s="1"/>
  <c r="AV22" i="1" s="1"/>
  <c r="AX22" i="1" s="1"/>
  <c r="AZ22" i="1" s="1"/>
  <c r="J10" i="1"/>
  <c r="I2" i="1" s="1"/>
  <c r="L12" i="1"/>
  <c r="N12" i="1" s="1"/>
  <c r="P12" i="1" s="1"/>
  <c r="R12" i="1" s="1"/>
  <c r="T12" i="1" s="1"/>
  <c r="V12" i="1" s="1"/>
  <c r="X12" i="1" s="1"/>
  <c r="Z12" i="1" s="1"/>
  <c r="AB12" i="1" s="1"/>
  <c r="AD12" i="1" s="1"/>
  <c r="AL13" i="1" l="1"/>
  <c r="AN13" i="1" s="1"/>
  <c r="AP13" i="1" s="1"/>
  <c r="AR13" i="1" s="1"/>
  <c r="AT13" i="1" s="1"/>
  <c r="AV13" i="1" s="1"/>
  <c r="AX13" i="1" s="1"/>
  <c r="AZ13" i="1" s="1"/>
  <c r="P20" i="1"/>
  <c r="R20" i="1" s="1"/>
  <c r="N17" i="1"/>
  <c r="P17" i="1" s="1"/>
  <c r="R17" i="1" s="1"/>
  <c r="T17" i="1" s="1"/>
  <c r="V17" i="1" s="1"/>
  <c r="X17" i="1" s="1"/>
  <c r="Z17" i="1" s="1"/>
  <c r="AB17" i="1" s="1"/>
  <c r="AD17" i="1" s="1"/>
  <c r="AF17" i="1" s="1"/>
  <c r="AH17" i="1" s="1"/>
  <c r="AJ17" i="1" s="1"/>
  <c r="AL17" i="1" s="1"/>
  <c r="AN17" i="1" s="1"/>
  <c r="AP17" i="1" s="1"/>
  <c r="AR17" i="1" s="1"/>
  <c r="AT17" i="1" s="1"/>
  <c r="AV17" i="1" s="1"/>
  <c r="AX17" i="1" s="1"/>
  <c r="AZ17" i="1" s="1"/>
  <c r="L10" i="1"/>
  <c r="J2" i="1" s="1"/>
  <c r="Y10" i="1" l="1"/>
  <c r="P3" i="1" s="1"/>
  <c r="Z50" i="1"/>
  <c r="T20" i="1"/>
  <c r="V20" i="1" s="1"/>
  <c r="X20" i="1" s="1"/>
  <c r="Z20" i="1" s="1"/>
  <c r="AB20" i="1" s="1"/>
  <c r="AD20" i="1" s="1"/>
  <c r="AF20" i="1" s="1"/>
  <c r="AH20" i="1" s="1"/>
  <c r="AJ20" i="1" s="1"/>
  <c r="AL20" i="1" s="1"/>
  <c r="AN20" i="1" s="1"/>
  <c r="AP20" i="1" s="1"/>
  <c r="AR20" i="1" s="1"/>
  <c r="AT20" i="1" s="1"/>
  <c r="AV20" i="1" s="1"/>
  <c r="AX20" i="1" s="1"/>
  <c r="AZ20" i="1" s="1"/>
  <c r="N10" i="1"/>
  <c r="K2" i="1" s="1"/>
  <c r="P10" i="1" l="1"/>
  <c r="L2" i="1" s="1"/>
  <c r="AA10" i="1" l="1"/>
  <c r="Q3" i="1" s="1"/>
  <c r="AB50" i="1"/>
  <c r="R10" i="1"/>
  <c r="M2" i="1" s="1"/>
  <c r="T10" i="1" l="1"/>
  <c r="N2" i="1" s="1"/>
  <c r="AC10" i="1" l="1"/>
  <c r="R3" i="1" s="1"/>
  <c r="AD50" i="1"/>
  <c r="V10" i="1"/>
  <c r="O2" i="1" s="1"/>
  <c r="X10" i="1" l="1"/>
  <c r="P2" i="1" s="1"/>
  <c r="AE10" i="1" l="1"/>
  <c r="S3" i="1" s="1"/>
  <c r="AF50" i="1"/>
  <c r="Z10" i="1"/>
  <c r="Q2" i="1" s="1"/>
  <c r="AB10" i="1" l="1"/>
  <c r="R2" i="1" s="1"/>
  <c r="AG10" i="1" l="1"/>
  <c r="T3" i="1" s="1"/>
  <c r="AH50" i="1"/>
  <c r="AD10" i="1"/>
  <c r="S2" i="1" s="1"/>
  <c r="AF12" i="1"/>
  <c r="AH12" i="1" s="1"/>
  <c r="AJ12" i="1" s="1"/>
  <c r="AF10" i="1" l="1"/>
  <c r="T2" i="1" s="1"/>
  <c r="AI10" i="1" l="1"/>
  <c r="U3" i="1" s="1"/>
  <c r="AJ50" i="1"/>
  <c r="AH10" i="1"/>
  <c r="U2" i="1" s="1"/>
  <c r="AL50" i="1" l="1"/>
  <c r="AL12" i="1"/>
  <c r="AN12" i="1" s="1"/>
  <c r="AJ10" i="1"/>
  <c r="V2" i="1" s="1"/>
  <c r="AK10" i="1" l="1"/>
  <c r="V3" i="1" s="1"/>
  <c r="AL10" i="1"/>
  <c r="W2" i="1" s="1"/>
  <c r="AM10" i="1" l="1"/>
  <c r="W3" i="1" s="1"/>
  <c r="AN50" i="1"/>
  <c r="AN10" i="1" s="1"/>
  <c r="X2" i="1" s="1"/>
  <c r="AP12" i="1"/>
  <c r="AR12" i="1" s="1"/>
  <c r="AT12" i="1" s="1"/>
  <c r="AV12" i="1" s="1"/>
  <c r="AX12" i="1" s="1"/>
  <c r="AO10" i="1" l="1"/>
  <c r="X3" i="1" s="1"/>
  <c r="AP50" i="1"/>
  <c r="AR50" i="1" l="1"/>
  <c r="AP10" i="1"/>
  <c r="Y2" i="1" s="1"/>
  <c r="AR10" i="1" l="1"/>
  <c r="Z2" i="1" s="1"/>
  <c r="AT50" i="1"/>
  <c r="AQ10" i="1"/>
  <c r="Y3" i="1" s="1"/>
  <c r="AT10" i="1" l="1"/>
  <c r="AA2" i="1" s="1"/>
  <c r="AS10" i="1"/>
  <c r="Z3" i="1" s="1"/>
  <c r="AZ12" i="1"/>
  <c r="AU10" i="1" l="1"/>
  <c r="AA3" i="1" s="1"/>
  <c r="AV50" i="1"/>
  <c r="AV10" i="1" l="1"/>
  <c r="AB2" i="1" s="1"/>
  <c r="AW10" i="1" l="1"/>
  <c r="AB3" i="1" s="1"/>
  <c r="AH3" i="1" s="1"/>
  <c r="AX50" i="1"/>
  <c r="AX10" i="1" l="1"/>
  <c r="AC2" i="1" s="1"/>
  <c r="AZ50" i="1"/>
  <c r="AZ10" i="1" s="1"/>
  <c r="AD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Arina</author>
    <author/>
    <author>Kubarieva, Oryna</author>
  </authors>
  <commentList>
    <comment ref="AT9" authorId="0" shapeId="0" xr:uid="{14E787F1-648A-494E-B408-83D03036544A}">
      <text>
        <r>
          <rPr>
            <b/>
            <sz val="9"/>
            <color indexed="81"/>
            <rFont val="Tahoma"/>
            <family val="2"/>
          </rPr>
          <t>Arina:</t>
        </r>
        <r>
          <rPr>
            <sz val="9"/>
            <color indexed="81"/>
            <rFont val="Tahoma"/>
            <family val="2"/>
          </rPr>
          <t xml:space="preserve">
Dimanche 03/11
</t>
        </r>
      </text>
    </comment>
    <comment ref="Z10" authorId="1" shapeId="0" xr:uid="{00000000-0006-0000-0000-000004000000}">
      <text>
        <r>
          <rPr>
            <sz val="10"/>
            <color rgb="FF000000"/>
            <rFont val="Arial1"/>
            <family val="2"/>
          </rPr>
          <t>Effort left went up after some new work has been discovered</t>
        </r>
      </text>
    </comment>
    <comment ref="B11" authorId="1" shapeId="0" xr:uid="{00000000-0006-0000-0000-000005000000}">
      <text>
        <r>
          <rPr>
            <sz val="10"/>
            <color rgb="FF000000"/>
            <rFont val="Arial1"/>
            <family val="2"/>
          </rPr>
          <t>Id of the story. To simplify linking to the product backlog</t>
        </r>
      </text>
    </comment>
    <comment ref="A88" authorId="2" shapeId="0" xr:uid="{CFABBA5B-23AD-4B24-8E12-205790352B01}">
      <text>
        <r>
          <rPr>
            <sz val="12"/>
            <color theme="1"/>
            <rFont val="Arial1"/>
          </rPr>
          <t xml:space="preserve">Kubarieva, Oryna:
A déplacer s'il te plait </t>
        </r>
      </text>
    </comment>
  </commentList>
</comments>
</file>

<file path=xl/sharedStrings.xml><?xml version="1.0" encoding="utf-8"?>
<sst xmlns="http://schemas.openxmlformats.org/spreadsheetml/2006/main" count="151" uniqueCount="146">
  <si>
    <t>jour</t>
  </si>
  <si>
    <t>Sommaire effort restant</t>
  </si>
  <si>
    <t>Sommaire efforts dépensé</t>
  </si>
  <si>
    <t>Sprint 1 : Mettre en place les fonctionnalités de base pour l’authentification, la gestion du profil, des cours, des échéances, du calendrier et des notifications d’un système académique et financier.</t>
  </si>
  <si>
    <t>Numéro item product backlog</t>
  </si>
  <si>
    <t>Équipe</t>
  </si>
  <si>
    <t>jours du sprint / (effort restant estimé en début de journée | heures travaillées ce jour)</t>
  </si>
  <si>
    <t>Total pour tâche</t>
  </si>
  <si>
    <t>Total pour tâche par membre équipe</t>
  </si>
  <si>
    <t>Cas d'utilisation ou user-story/tâche</t>
  </si>
  <si>
    <t>SPRINT 1</t>
  </si>
  <si>
    <t xml:space="preserve">Authentification utilisateur </t>
  </si>
  <si>
    <t>Création de la page de connexion</t>
  </si>
  <si>
    <t>Creation de la page d'inscription</t>
  </si>
  <si>
    <t xml:space="preserve">Validation </t>
  </si>
  <si>
    <t xml:space="preserve">Setup de Xcode </t>
  </si>
  <si>
    <t>Création du profil d'utilisateur</t>
  </si>
  <si>
    <t>Création de la page principal pour afficher les options pour utilisateur</t>
  </si>
  <si>
    <t>Ajouter la possiblité de faire les changements dans le dossier (ex:ajouter image profil, dark mode, profile details)</t>
  </si>
  <si>
    <t xml:space="preserve">Visualisation du menu pour utilisauter </t>
  </si>
  <si>
    <t>Creation de la base de données pour sauvegarder les information personnels</t>
  </si>
  <si>
    <t>Gestion du cours (ajout)</t>
  </si>
  <si>
    <t>Ajouter cours (code, nom)</t>
  </si>
  <si>
    <t>Sauvegarder le cours</t>
  </si>
  <si>
    <t>Afficher la liste des cours après ajout</t>
  </si>
  <si>
    <t>Gestion du cours (seuil du passage)</t>
  </si>
  <si>
    <t>Attribuer un pourcentage de passage à un cours</t>
  </si>
  <si>
    <t>Gestion du cours (suppression ou modification)</t>
  </si>
  <si>
    <t>Modifier un cours existant</t>
  </si>
  <si>
    <t>Supprimer un cours (ex. abandonné)</t>
  </si>
  <si>
    <t>Ajout des échéances</t>
  </si>
  <si>
    <t>Connexion à la bd via API supabase</t>
  </si>
  <si>
    <t>Setup de Android studio</t>
  </si>
  <si>
    <t>Création de la page des échéances</t>
  </si>
  <si>
    <t>Création de l'ajout des échéances</t>
  </si>
  <si>
    <t>Modification des échéances</t>
  </si>
  <si>
    <t>Ajout de modification des échéances</t>
  </si>
  <si>
    <t>Ajout de suppression des échéances</t>
  </si>
  <si>
    <t xml:space="preserve">Vue calendrier hebdomadaire : Affichage des examens, quiz, paiement à travers une globale du calendrier </t>
  </si>
  <si>
    <t>Création du calendrier basique</t>
  </si>
  <si>
    <t>Ajout de la rubrique évènements à venir</t>
  </si>
  <si>
    <t>Création de la vue globale</t>
  </si>
  <si>
    <t>Ajout de la possibilité de voir les évènements directement sur le calendrier</t>
  </si>
  <si>
    <t>Ajout de la personnalisation du calendrier avec des couleurs au choix</t>
  </si>
  <si>
    <t>Ajout du bouton de personnalisation</t>
  </si>
  <si>
    <t xml:space="preserve">Ajout des couleurs aux choix </t>
  </si>
  <si>
    <t>Ajout de modifications de la police, gras, taille des lettres</t>
  </si>
  <si>
    <t xml:space="preserve">Mise en place de la notification </t>
  </si>
  <si>
    <t>Ajouter la possbilité d'avoir les notifiacations qui sont envoyer par le systeme</t>
  </si>
  <si>
    <t>Ajouter la focntionnalité pour la gestion des notificaitons - fréquence</t>
  </si>
  <si>
    <t>Ajout de l'affichage de la page dans le vue global</t>
  </si>
  <si>
    <t>Ajouter la fonctionnalité seulent la priorité des notifications(ex. examen - notification 3f par semaine, quiz - notifiaction 1-2f par semaine)</t>
  </si>
  <si>
    <t>Gestion des notifications</t>
  </si>
  <si>
    <t>Ajouter la préférances des notifications - matin, soir,etc</t>
  </si>
  <si>
    <t>Ajouter la fréquences pour tous les notifications, peu importe la priorité</t>
  </si>
  <si>
    <t>Desactiver les notifications au besoin par utilisateur pour X temps</t>
  </si>
  <si>
    <t>SPRINT 2</t>
  </si>
  <si>
    <t>Correction à apporter - création de possibilité de réinitialiser le mot de passe</t>
  </si>
  <si>
    <t xml:space="preserve">Creation du bouton  - mot de passe oublie </t>
  </si>
  <si>
    <t xml:space="preserve">Renvoyer le mot de passe temporaire - courriel ou # télé. </t>
  </si>
  <si>
    <t>Correction du profil d'utilisateur</t>
  </si>
  <si>
    <t>Creation de la page d'utilisateur</t>
  </si>
  <si>
    <t>Ajouter dashboard et les modifications possibles</t>
  </si>
  <si>
    <t>Gestion des cours : Bonification gestion du seuil du passage - calcul automatique min requis pour passer le cours selon les notes concernées déjà obtenues</t>
  </si>
  <si>
    <t>US1 Saisie des évaluations &amp; pondérations</t>
  </si>
  <si>
    <t>US2 Saisie des notes obtenues</t>
  </si>
  <si>
    <t>US3 Calcul de moyenne pondérée actuelle</t>
  </si>
  <si>
    <t>US4 Calcul du minimum à obtenir pour atteindre le seuil</t>
  </si>
  <si>
    <t xml:space="preserve">Correction de la vue global - calendrier correction dans le Sprint 2 </t>
  </si>
  <si>
    <t>Implémentation de la vue quotidienne</t>
  </si>
  <si>
    <t>Calcul de priorité d'évènement basique (IA v1)</t>
  </si>
  <si>
    <t>Identifier les paramètres nécessaires et définir la formule du calcul</t>
  </si>
  <si>
    <t>Effectuer l'implémentation du calcul</t>
  </si>
  <si>
    <t>Intégration au système</t>
  </si>
  <si>
    <t>Validation et test</t>
  </si>
  <si>
    <t>Affichage - ajouter la visualisation de l'indice de priorité dans l'interace utilisateur</t>
  </si>
  <si>
    <t xml:space="preserve">Barre de progression </t>
  </si>
  <si>
    <t>Identifier les éléments mesurant l'avancement</t>
  </si>
  <si>
    <t>Calcul du pourcentage d'avancement</t>
  </si>
  <si>
    <t>Conception de la barre de progression</t>
  </si>
  <si>
    <t>Intégration dynamique</t>
  </si>
  <si>
    <t>Test et validation : exactitude du pourcentage et le rendu visuel sur différents états</t>
  </si>
  <si>
    <t>Placement automatique de blocs d’étude. US  : En tant qu’étudiant, je peux générer automatiquement des blocs d’étude (25/45/60/90 min) dans mes créneaux libres aujourd’hui, sans écraser mes événements existants</t>
  </si>
  <si>
    <r>
      <rPr>
        <sz val="10"/>
        <color rgb="FF000000"/>
        <rFont val="Arial1"/>
      </rPr>
      <t xml:space="preserve">Algorithme de placement minimal :
</t>
    </r>
    <r>
      <rPr>
        <u/>
        <sz val="10"/>
        <color rgb="FF000000"/>
        <rFont val="Arial1"/>
      </rPr>
      <t>entrées</t>
    </r>
    <r>
      <rPr>
        <sz val="10"/>
        <color rgb="FF000000"/>
        <rFont val="Arial1"/>
      </rPr>
      <t xml:space="preserve"> : durée, fenêtre jour (start/end), événements existants
</t>
    </r>
    <r>
      <rPr>
        <u/>
        <sz val="10"/>
        <color rgb="FF000000"/>
        <rFont val="Arial1"/>
      </rPr>
      <t>sortie</t>
    </r>
    <r>
      <rPr>
        <sz val="10"/>
        <color rgb="FF000000"/>
        <rFont val="Arial1"/>
      </rPr>
      <t xml:space="preserve">: premier créneau libre valide
</t>
    </r>
    <r>
      <rPr>
        <u/>
        <sz val="10"/>
        <color rgb="FF000000"/>
        <rFont val="Arial1"/>
      </rPr>
      <t>régle</t>
    </r>
    <r>
      <rPr>
        <sz val="10"/>
        <color rgb="FF000000"/>
        <rFont val="Arial1"/>
      </rPr>
      <t xml:space="preserve"> : pas d'overlap</t>
    </r>
  </si>
  <si>
    <t>Action “Générer un bloc” : Bouton + select durée (25/45/60/90), message succès/échec, Undo (supprime le dernier bloc auto)</t>
  </si>
  <si>
    <t>Vue “Plan d’étude” avec liste des tâches du jour. US : En tant qu’étudiant, je vois pour aujourd’hui mes blocs d’étude et tâches, et je peux marquer Done/Not done</t>
  </si>
  <si>
    <t>Vue quotidienne minimaliste</t>
  </si>
  <si>
    <t>Toggle Done/Not done</t>
  </si>
  <si>
    <t>Filtre &amp; état (Tous / À faire / Terminés)</t>
  </si>
  <si>
    <t>Fonctionnalite chronometre</t>
  </si>
  <si>
    <t>Allocation du temps par bloc</t>
  </si>
  <si>
    <t xml:space="preserve">Fonction pause/reprise </t>
  </si>
  <si>
    <t xml:space="preserve">Arrêt automatique du chronomètre à la fin du bloc </t>
  </si>
  <si>
    <t>Gestion de la fin de session avec notification et options pour prolonger la séance </t>
  </si>
  <si>
    <t>Afficher une vue quotidienne avec la liste des tâches du jour et un bouton “Commencer” pour chaque tâche</t>
  </si>
  <si>
    <r>
      <rPr>
        <b/>
        <sz val="10"/>
        <color rgb="FF000000"/>
        <rFont val="Arial1"/>
      </rPr>
      <t>Chargement et filtrage des tâches du jour</t>
    </r>
    <r>
      <rPr>
        <sz val="10"/>
        <color rgb="FF000000"/>
        <rFont val="Arial1"/>
      </rPr>
      <t xml:space="preserve"> (récupérer les tâches depuis Supabse ou local et filtrer celles dont la date correspond à la journée actuelle)</t>
    </r>
  </si>
  <si>
    <r>
      <rPr>
        <b/>
        <sz val="10"/>
        <color rgb="FF000000"/>
        <rFont val="Arial1"/>
      </rPr>
      <t xml:space="preserve">Affichage de la vue quotidienne </t>
    </r>
    <r>
      <rPr>
        <sz val="10"/>
        <color rgb="FF000000"/>
        <rFont val="Arial1"/>
      </rPr>
      <t>(Créer une interface listant les tâches du jour avec leur titre, catégorie, et statut : "à faire", "en cours", "terminé")</t>
    </r>
  </si>
  <si>
    <r>
      <rPr>
        <b/>
        <sz val="10"/>
        <color rgb="FF000000"/>
        <rFont val="Arial1"/>
      </rPr>
      <t>Ajout du bouton "Commencer"</t>
    </r>
    <r>
      <rPr>
        <sz val="10"/>
        <color rgb="FF000000"/>
        <rFont val="Arial1"/>
      </rPr>
      <t>. (pour chaque tâche, ajouter un bouton "commencer" qui met à jour l'état de la tâche et affiche un retour visuel)</t>
    </r>
  </si>
  <si>
    <t>Gestion des revenus et dépenses</t>
  </si>
  <si>
    <t>Précision issue :  Ajouter des revenus</t>
  </si>
  <si>
    <t>Précision issue : Modifier revenus (éditer ou supprimer)</t>
  </si>
  <si>
    <t>Ajouter les dépenses par rapport aux études (coût trimestre, etc.)</t>
  </si>
  <si>
    <t>Modifier les dépenses (éditer ou supprimer)</t>
  </si>
  <si>
    <t>Implémentation du tableau mensuel avec total revenus/dépenses dans le contexte du budget</t>
  </si>
  <si>
    <t>Structure et implémentation des données</t>
  </si>
  <si>
    <t>Affichage du tableau dynamique (Mettre à jour automatiquement à chaque ajout, suppression)</t>
  </si>
  <si>
    <t>Calcul et validation des totaux</t>
  </si>
  <si>
    <t>Notifications si limites de dépenses</t>
  </si>
  <si>
    <t>Surveillance du total des dépenses</t>
  </si>
  <si>
    <t>Détection et génération de l'alerte</t>
  </si>
  <si>
    <t>Affichage et interaction avec l'alerte (rendre la notification prioritaire : affich. au dessus du tableau)</t>
  </si>
  <si>
    <t>SPRINT 3</t>
  </si>
  <si>
    <t>Ajuster les taches selon l’ordre de la priorité</t>
  </si>
  <si>
    <t>Recalculer les priorités si la tâche n’est pas exécutée au temps déterminé</t>
  </si>
  <si>
    <t>IA – Apprentissage adaptatif (sessions plus courtes/longues, blocs réduits si procrastination)</t>
  </si>
  <si>
    <t>IA – Placement optimal intelligent des blocs (avec contraintes personnel)</t>
  </si>
  <si>
    <t>Optimiser blocs en tenant compte de contraintes personnel</t>
  </si>
  <si>
    <t>Anticipation avancée (révisions ciblées, équilibre vie, gestion stress)</t>
  </si>
  <si>
    <t>Ajouter les conseils ciblés</t>
  </si>
  <si>
    <t>Ajouter les notifications (POP UP) avec des mots d’encouragement</t>
  </si>
  <si>
    <t>Créations des petites questions de bien-être</t>
  </si>
  <si>
    <t>IA – Analyse avancée des finances</t>
  </si>
  <si>
    <t>Suggestions selon la simple lecture du rapport budget-depenses</t>
  </si>
  <si>
    <t>Résumé de fin de semestre (académique + finances, recommandations)</t>
  </si>
  <si>
    <t>Rapport global avec % complétion pour les études</t>
  </si>
  <si>
    <t>Recommandations gestion études pour les sessions à venir</t>
  </si>
  <si>
    <t>Rapport global financier</t>
  </si>
  <si>
    <t>Recommandations pour la gestion des finances</t>
  </si>
  <si>
    <t>Prénom</t>
  </si>
  <si>
    <t>Nom</t>
  </si>
  <si>
    <t>email</t>
  </si>
  <si>
    <t>nickname</t>
  </si>
  <si>
    <t>Oryna</t>
  </si>
  <si>
    <t>Kubarieva</t>
  </si>
  <si>
    <t>kubarieva.oryna@courrier.uqam.ca</t>
  </si>
  <si>
    <t>Aziz</t>
  </si>
  <si>
    <t>Thiam</t>
  </si>
  <si>
    <t>thiam.demba_aziz@courrier.uqam.ca</t>
  </si>
  <si>
    <t>Joana</t>
  </si>
  <si>
    <t>Munyaneza</t>
  </si>
  <si>
    <t>munyaneza_mutunge.ursule_joana@courrier.uqam.ca</t>
  </si>
  <si>
    <t>Kenny</t>
  </si>
  <si>
    <t>Kenfack</t>
  </si>
  <si>
    <t>kenfack_nandjou.steve_marvyn@courrier.uqam.ca</t>
  </si>
  <si>
    <t>Romuald</t>
  </si>
  <si>
    <t>Sokoujou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</si>
</sst>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1009]#,##0.00;[Red]&quot;-&quot;[$$-1009]#,##0.00"/>
  </numFmts>
  <fonts count="22">
    <font>
      <sz val="12"/>
      <color theme="1"/>
      <name val="Arial1"/>
    </font>
    <font>
      <u/>
      <sz val="10"/>
      <color rgb="FF0000FF"/>
      <name val="Arial2"/>
      <family val="2"/>
    </font>
    <font>
      <b/>
      <i/>
      <sz val="16"/>
      <color theme="1"/>
      <name val="Arial1"/>
    </font>
    <font>
      <b/>
      <i/>
      <u/>
      <sz val="12"/>
      <color theme="1"/>
      <name val="Arial1"/>
    </font>
    <font>
      <b/>
      <sz val="12"/>
      <color theme="1"/>
      <name val="Arial1"/>
    </font>
    <font>
      <b/>
      <sz val="10"/>
      <color theme="1"/>
      <name val="Arial2"/>
    </font>
    <font>
      <sz val="10"/>
      <color rgb="FF000000"/>
      <name val="Arial1"/>
      <family val="2"/>
    </font>
    <font>
      <sz val="10"/>
      <color theme="1"/>
      <name val="Arial2"/>
    </font>
    <font>
      <u/>
      <sz val="12"/>
      <color theme="10"/>
      <name val="Arial1"/>
    </font>
    <font>
      <sz val="11"/>
      <color rgb="FF000000"/>
      <name val="Aptos"/>
      <family val="2"/>
    </font>
    <font>
      <u/>
      <sz val="10"/>
      <color theme="10"/>
      <name val="Arial1"/>
    </font>
    <font>
      <sz val="10"/>
      <color theme="1"/>
      <name val="Arial1"/>
    </font>
    <font>
      <sz val="12"/>
      <color theme="1"/>
      <name val="Arial1"/>
    </font>
    <font>
      <sz val="12"/>
      <color theme="1"/>
      <name val="Arial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Times New Roman"/>
      <family val="1"/>
    </font>
    <font>
      <sz val="10"/>
      <color rgb="FF000000"/>
      <name val="Arial1"/>
    </font>
    <font>
      <u/>
      <sz val="10"/>
      <color rgb="FF000000"/>
      <name val="Arial1"/>
    </font>
    <font>
      <b/>
      <sz val="10"/>
      <color rgb="FF000000"/>
      <name val="Arial1"/>
    </font>
    <font>
      <sz val="12"/>
      <color theme="0"/>
      <name val="Arial1"/>
    </font>
    <font>
      <b/>
      <sz val="10"/>
      <color rgb="FF0000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8">
    <xf numFmtId="0" fontId="0" fillId="0" borderId="0"/>
    <xf numFmtId="0" fontId="1" fillId="0" borderId="0"/>
    <xf numFmtId="0" fontId="2" fillId="0" borderId="0">
      <alignment horizontal="center"/>
    </xf>
    <xf numFmtId="0" fontId="2" fillId="0" borderId="0">
      <alignment horizontal="center" textRotation="90"/>
    </xf>
    <xf numFmtId="0" fontId="3" fillId="0" borderId="0"/>
    <xf numFmtId="164" fontId="3" fillId="0" borderId="0"/>
    <xf numFmtId="0" fontId="8" fillId="0" borderId="0" applyNumberFormat="0" applyFill="0" applyBorder="0" applyAlignment="0" applyProtection="0"/>
    <xf numFmtId="9" fontId="12" fillId="0" borderId="0" applyFont="0" applyFill="0" applyBorder="0" applyAlignment="0" applyProtection="0"/>
  </cellStyleXfs>
  <cellXfs count="71">
    <xf numFmtId="0" fontId="0" fillId="0" borderId="0" xfId="0"/>
    <xf numFmtId="0" fontId="4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0" fillId="0" borderId="1" xfId="0" applyBorder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/>
    <xf numFmtId="0" fontId="0" fillId="0" borderId="4" xfId="0" applyBorder="1"/>
    <xf numFmtId="0" fontId="0" fillId="2" borderId="6" xfId="0" applyFill="1" applyBorder="1"/>
    <xf numFmtId="0" fontId="5" fillId="2" borderId="4" xfId="0" applyFont="1" applyFill="1" applyBorder="1"/>
    <xf numFmtId="0" fontId="0" fillId="2" borderId="0" xfId="0" applyFill="1"/>
    <xf numFmtId="0" fontId="0" fillId="0" borderId="6" xfId="0" applyBorder="1"/>
    <xf numFmtId="0" fontId="5" fillId="2" borderId="0" xfId="0" applyFont="1" applyFill="1"/>
    <xf numFmtId="10" fontId="7" fillId="0" borderId="0" xfId="0" applyNumberFormat="1" applyFont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5" fillId="0" borderId="0" xfId="0" applyFont="1" applyAlignment="1">
      <alignment horizontal="center" wrapText="1"/>
    </xf>
    <xf numFmtId="0" fontId="9" fillId="0" borderId="0" xfId="0" applyFont="1"/>
    <xf numFmtId="0" fontId="10" fillId="0" borderId="0" xfId="6" applyFont="1" applyAlignment="1">
      <alignment wrapText="1"/>
    </xf>
    <xf numFmtId="0" fontId="10" fillId="0" borderId="0" xfId="6" applyFont="1"/>
    <xf numFmtId="9" fontId="5" fillId="2" borderId="0" xfId="0" applyNumberFormat="1" applyFont="1" applyFill="1"/>
    <xf numFmtId="0" fontId="13" fillId="0" borderId="0" xfId="7" applyNumberFormat="1" applyFont="1" applyBorder="1"/>
    <xf numFmtId="0" fontId="13" fillId="0" borderId="0" xfId="0" applyFont="1"/>
    <xf numFmtId="0" fontId="13" fillId="0" borderId="0" xfId="7" applyNumberFormat="1" applyFont="1"/>
    <xf numFmtId="9" fontId="5" fillId="2" borderId="0" xfId="7" applyFont="1" applyFill="1"/>
    <xf numFmtId="10" fontId="5" fillId="2" borderId="0" xfId="0" applyNumberFormat="1" applyFont="1" applyFill="1"/>
    <xf numFmtId="0" fontId="5" fillId="4" borderId="0" xfId="0" applyFont="1" applyFill="1"/>
    <xf numFmtId="9" fontId="5" fillId="4" borderId="0" xfId="7" applyFont="1" applyFill="1"/>
    <xf numFmtId="0" fontId="0" fillId="4" borderId="0" xfId="0" applyFill="1"/>
    <xf numFmtId="0" fontId="11" fillId="0" borderId="4" xfId="0" applyFont="1" applyBorder="1" applyAlignment="1">
      <alignment wrapText="1"/>
    </xf>
    <xf numFmtId="0" fontId="11" fillId="0" borderId="0" xfId="0" applyFont="1" applyAlignment="1">
      <alignment wrapText="1"/>
    </xf>
    <xf numFmtId="9" fontId="5" fillId="2" borderId="4" xfId="0" applyNumberFormat="1" applyFont="1" applyFill="1" applyBorder="1"/>
    <xf numFmtId="0" fontId="5" fillId="2" borderId="4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5" fillId="4" borderId="4" xfId="0" applyFont="1" applyFill="1" applyBorder="1" applyAlignment="1">
      <alignment wrapText="1"/>
    </xf>
    <xf numFmtId="0" fontId="16" fillId="0" borderId="0" xfId="0" applyFont="1" applyAlignment="1">
      <alignment wrapText="1"/>
    </xf>
    <xf numFmtId="0" fontId="17" fillId="0" borderId="4" xfId="0" applyFont="1" applyBorder="1" applyAlignment="1">
      <alignment wrapText="1"/>
    </xf>
    <xf numFmtId="0" fontId="21" fillId="4" borderId="24" xfId="0" applyFont="1" applyFill="1" applyBorder="1" applyAlignment="1">
      <alignment wrapText="1"/>
    </xf>
    <xf numFmtId="0" fontId="0" fillId="8" borderId="4" xfId="0" applyFill="1" applyBorder="1"/>
    <xf numFmtId="0" fontId="4" fillId="8" borderId="4" xfId="0" applyFont="1" applyFill="1" applyBorder="1" applyAlignment="1">
      <alignment horizontal="center" vertical="center"/>
    </xf>
    <xf numFmtId="0" fontId="17" fillId="0" borderId="25" xfId="0" applyFont="1" applyBorder="1" applyAlignment="1">
      <alignment wrapText="1"/>
    </xf>
    <xf numFmtId="0" fontId="0" fillId="9" borderId="4" xfId="0" applyFill="1" applyBorder="1"/>
    <xf numFmtId="0" fontId="20" fillId="9" borderId="4" xfId="0" applyFont="1" applyFill="1" applyBorder="1"/>
    <xf numFmtId="0" fontId="4" fillId="9" borderId="4" xfId="0" applyFont="1" applyFill="1" applyBorder="1" applyAlignment="1">
      <alignment horizontal="center" vertical="center"/>
    </xf>
    <xf numFmtId="0" fontId="0" fillId="10" borderId="4" xfId="0" applyFill="1" applyBorder="1"/>
    <xf numFmtId="0" fontId="4" fillId="10" borderId="4" xfId="0" applyFont="1" applyFill="1" applyBorder="1" applyAlignment="1">
      <alignment horizontal="center" vertical="center"/>
    </xf>
    <xf numFmtId="0" fontId="11" fillId="0" borderId="25" xfId="0" applyFont="1" applyBorder="1" applyAlignment="1">
      <alignment wrapText="1"/>
    </xf>
    <xf numFmtId="14" fontId="0" fillId="0" borderId="1" xfId="0" applyNumberFormat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14" fontId="0" fillId="7" borderId="1" xfId="0" applyNumberFormat="1" applyFill="1" applyBorder="1" applyAlignment="1">
      <alignment horizontal="center"/>
    </xf>
    <xf numFmtId="49" fontId="0" fillId="0" borderId="10" xfId="0" applyNumberFormat="1" applyBorder="1" applyAlignment="1">
      <alignment horizontal="center" vertical="center" wrapText="1"/>
    </xf>
    <xf numFmtId="49" fontId="0" fillId="0" borderId="13" xfId="0" applyNumberForma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6" borderId="0" xfId="0" applyFill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3" borderId="0" xfId="0" applyFill="1" applyAlignment="1">
      <alignment horizontal="center"/>
    </xf>
  </cellXfs>
  <cellStyles count="8">
    <cellStyle name="Excel_BuiltIn_Hyperlink" xfId="1" xr:uid="{00000000-0005-0000-0000-000000000000}"/>
    <cellStyle name="Heading" xfId="2" xr:uid="{00000000-0005-0000-0000-000001000000}"/>
    <cellStyle name="Heading1" xfId="3" xr:uid="{00000000-0005-0000-0000-000002000000}"/>
    <cellStyle name="Result" xfId="4" xr:uid="{00000000-0005-0000-0000-000004000000}"/>
    <cellStyle name="Result2" xfId="5" xr:uid="{00000000-0005-0000-0000-000005000000}"/>
    <cellStyle name="Гиперссылка" xfId="6" builtinId="8"/>
    <cellStyle name="Обычный" xfId="0" builtinId="0" customBuiltin="1"/>
    <cellStyle name="Процентный" xfId="7" builtinId="5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pPr>
              <a:defRPr sz="825" b="1">
                <a:solidFill>
                  <a:srgbClr val="000000"/>
                </a:solidFill>
                <a:cs typeface="Arial"/>
              </a:defRPr>
            </a:pPr>
            <a:r>
              <a:rPr lang="en-US"/>
              <a:t>Travail restant, par jour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600">
              <a:solidFill>
                <a:srgbClr val="000080"/>
              </a:solidFill>
            </a:ln>
          </c:spPr>
          <c:marker>
            <c:symbol val="diamond"/>
            <c:size val="5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>
                    <a:solidFill>
                      <a:srgbClr val="000000"/>
                    </a:solidFill>
                    <a:cs typeface="Arial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backlog!$I$1:$AD$1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backlog!$I$2:$AD$2</c:f>
              <c:numCache>
                <c:formatCode>General</c:formatCode>
                <c:ptCount val="22"/>
                <c:pt idx="0">
                  <c:v>549</c:v>
                </c:pt>
                <c:pt idx="1">
                  <c:v>539</c:v>
                </c:pt>
                <c:pt idx="2">
                  <c:v>536</c:v>
                </c:pt>
                <c:pt idx="3">
                  <c:v>532</c:v>
                </c:pt>
                <c:pt idx="4">
                  <c:v>532</c:v>
                </c:pt>
                <c:pt idx="5">
                  <c:v>518</c:v>
                </c:pt>
                <c:pt idx="6">
                  <c:v>503</c:v>
                </c:pt>
                <c:pt idx="7">
                  <c:v>498</c:v>
                </c:pt>
                <c:pt idx="8">
                  <c:v>484</c:v>
                </c:pt>
                <c:pt idx="9">
                  <c:v>473</c:v>
                </c:pt>
                <c:pt idx="10">
                  <c:v>458</c:v>
                </c:pt>
                <c:pt idx="11">
                  <c:v>448</c:v>
                </c:pt>
                <c:pt idx="12">
                  <c:v>421</c:v>
                </c:pt>
                <c:pt idx="13">
                  <c:v>391</c:v>
                </c:pt>
                <c:pt idx="14">
                  <c:v>366</c:v>
                </c:pt>
                <c:pt idx="15">
                  <c:v>344</c:v>
                </c:pt>
                <c:pt idx="16">
                  <c:v>344</c:v>
                </c:pt>
                <c:pt idx="17">
                  <c:v>337</c:v>
                </c:pt>
                <c:pt idx="18">
                  <c:v>328</c:v>
                </c:pt>
                <c:pt idx="19">
                  <c:v>319</c:v>
                </c:pt>
                <c:pt idx="20">
                  <c:v>283</c:v>
                </c:pt>
                <c:pt idx="21">
                  <c:v>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80-3F47-9C8C-FAE801C09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8228896"/>
        <c:axId val="1908226448"/>
      </c:lineChart>
      <c:valAx>
        <c:axId val="19082264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800" b="1">
                    <a:solidFill>
                      <a:srgbClr val="000000"/>
                    </a:solidFill>
                    <a:cs typeface="Arial"/>
                  </a:defRPr>
                </a:pPr>
                <a:r>
                  <a:rPr lang="en-US"/>
                  <a:t>effort restant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800" b="0">
                <a:solidFill>
                  <a:srgbClr val="000000"/>
                </a:solidFill>
                <a:cs typeface="Arial"/>
              </a:defRPr>
            </a:pPr>
            <a:endParaRPr lang="en-US"/>
          </a:p>
        </c:txPr>
        <c:crossAx val="1908228896"/>
        <c:crossesAt val="1"/>
        <c:crossBetween val="between"/>
      </c:valAx>
      <c:catAx>
        <c:axId val="1908228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>
                    <a:solidFill>
                      <a:srgbClr val="000000"/>
                    </a:solidFill>
                    <a:cs typeface="Arial"/>
                  </a:defRPr>
                </a:pPr>
                <a:r>
                  <a:rPr lang="en-US"/>
                  <a:t>jours du sprint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800" b="0">
                <a:solidFill>
                  <a:srgbClr val="000000"/>
                </a:solidFill>
                <a:cs typeface="Arial"/>
              </a:defRPr>
            </a:pPr>
            <a:endParaRPr lang="en-US"/>
          </a:p>
        </c:txPr>
        <c:crossAx val="1908226448"/>
        <c:crossesAt val="0"/>
        <c:auto val="1"/>
        <c:lblAlgn val="ctr"/>
        <c:lblOffset val="100"/>
        <c:noMultiLvlLbl val="0"/>
      </c:catAx>
      <c:spPr>
        <a:solidFill>
          <a:srgbClr val="C0C0C0"/>
        </a:solidFill>
        <a:ln w="126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pPr>
              <a:defRPr sz="1300" b="0"/>
            </a:pPr>
            <a:r>
              <a:rPr lang="en-US"/>
              <a:t>Travail effectué (en heures), par jour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680">
              <a:solidFill>
                <a:srgbClr val="004586"/>
              </a:solidFill>
            </a:ln>
          </c:spPr>
          <c:marker>
            <c:symbol val="square"/>
            <c:size val="7"/>
          </c:marker>
          <c:cat>
            <c:numRef>
              <c:f>backlog!$I$1:$AD$1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backlog!$I$3:$AD$3</c:f>
              <c:numCache>
                <c:formatCode>General</c:formatCode>
                <c:ptCount val="22"/>
                <c:pt idx="0">
                  <c:v>9</c:v>
                </c:pt>
                <c:pt idx="1">
                  <c:v>6</c:v>
                </c:pt>
                <c:pt idx="2">
                  <c:v>4</c:v>
                </c:pt>
                <c:pt idx="3">
                  <c:v>4</c:v>
                </c:pt>
                <c:pt idx="4">
                  <c:v>15</c:v>
                </c:pt>
                <c:pt idx="5">
                  <c:v>15</c:v>
                </c:pt>
                <c:pt idx="6">
                  <c:v>17</c:v>
                </c:pt>
                <c:pt idx="7">
                  <c:v>22</c:v>
                </c:pt>
                <c:pt idx="8">
                  <c:v>18</c:v>
                </c:pt>
                <c:pt idx="9">
                  <c:v>14</c:v>
                </c:pt>
                <c:pt idx="10">
                  <c:v>16</c:v>
                </c:pt>
                <c:pt idx="11">
                  <c:v>34</c:v>
                </c:pt>
                <c:pt idx="12">
                  <c:v>29</c:v>
                </c:pt>
                <c:pt idx="13">
                  <c:v>27</c:v>
                </c:pt>
                <c:pt idx="14">
                  <c:v>23</c:v>
                </c:pt>
                <c:pt idx="15">
                  <c:v>12</c:v>
                </c:pt>
                <c:pt idx="16">
                  <c:v>11</c:v>
                </c:pt>
                <c:pt idx="17">
                  <c:v>13</c:v>
                </c:pt>
                <c:pt idx="18">
                  <c:v>19</c:v>
                </c:pt>
                <c:pt idx="19">
                  <c:v>34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30-3D47-B095-51C3F7353C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7079488"/>
        <c:axId val="1847077040"/>
      </c:lineChart>
      <c:valAx>
        <c:axId val="1847077040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/>
                </a:pPr>
                <a:r>
                  <a:rPr lang="en-US"/>
                  <a:t>Heures travaillées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800" b="0"/>
            </a:pPr>
            <a:endParaRPr lang="en-US"/>
          </a:p>
        </c:txPr>
        <c:crossAx val="1847079488"/>
        <c:crossesAt val="0"/>
        <c:crossBetween val="between"/>
      </c:valAx>
      <c:catAx>
        <c:axId val="1847079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/>
                </a:pPr>
                <a:r>
                  <a:rPr lang="en-US"/>
                  <a:t>jours du sprint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800" b="0"/>
            </a:pPr>
            <a:endParaRPr lang="en-US"/>
          </a:p>
        </c:txPr>
        <c:crossAx val="1847077040"/>
        <c:crossesAt val="0"/>
        <c:auto val="1"/>
        <c:lblAlgn val="ctr"/>
        <c:lblOffset val="100"/>
        <c:noMultiLvlLbl val="0"/>
      </c:catAx>
      <c:spPr>
        <a:solidFill>
          <a:srgbClr val="C0C0C0"/>
        </a:solidFill>
        <a:ln>
          <a:solidFill>
            <a:srgbClr val="000000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800" b="0"/>
          </a:pPr>
          <a:endParaRPr lang="en-US"/>
        </a:p>
      </c:txPr>
    </c:legend>
    <c:plotVisOnly val="1"/>
    <c:dispBlanksAs val="gap"/>
    <c:showDLblsOverMax val="0"/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621719</xdr:colOff>
      <xdr:row>144</xdr:row>
      <xdr:rowOff>183149</xdr:rowOff>
    </xdr:from>
    <xdr:ext cx="6788033" cy="3371301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39DC6F-BD49-2249-AEAD-5D9FBC1F92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116992</xdr:colOff>
      <xdr:row>144</xdr:row>
      <xdr:rowOff>111478</xdr:rowOff>
    </xdr:from>
    <xdr:ext cx="5749246" cy="3359571"/>
    <xdr:graphicFrame macro="">
      <xdr:nvGraphicFramePr>
        <xdr:cNvPr id="6" name="Chart 4">
          <a:extLst>
            <a:ext uri="{FF2B5EF4-FFF2-40B4-BE49-F238E27FC236}">
              <a16:creationId xmlns:a16="http://schemas.microsoft.com/office/drawing/2014/main" id="{DAFCC27B-C924-9E4D-B134-842509C7FD91}"/>
            </a:ext>
            <a:ext uri="{147F2762-F138-4A5C-976F-8EAC2B608ADB}">
              <a16:predDERef xmlns:a16="http://schemas.microsoft.com/office/drawing/2014/main" pred="{7F39DC6F-BD49-2249-AEAD-5D9FBC1F92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kenfack_nandjou.steve_marvyn@courrier.uqam.ca" TargetMode="External"/><Relationship Id="rId2" Type="http://schemas.openxmlformats.org/officeDocument/2006/relationships/hyperlink" Target="mailto:kenfack_nandjou.steve_marvyn@courrier.uqam.ca" TargetMode="External"/><Relationship Id="rId1" Type="http://schemas.openxmlformats.org/officeDocument/2006/relationships/hyperlink" Target="mailto:munyaneza_mutunge.ursule_joana@courrier.uqam.ca" TargetMode="External"/><Relationship Id="rId5" Type="http://schemas.openxmlformats.org/officeDocument/2006/relationships/hyperlink" Target="mailto:kubarieva.oryna@courrier.uqam.ca" TargetMode="External"/><Relationship Id="rId4" Type="http://schemas.openxmlformats.org/officeDocument/2006/relationships/hyperlink" Target="mailto:thiam.demba_aziz@courrier.uqam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31"/>
  <sheetViews>
    <sheetView tabSelected="1" zoomScale="77" zoomScaleNormal="50" workbookViewId="0">
      <pane xSplit="4" ySplit="10" topLeftCell="H115" activePane="bottomRight" state="frozen"/>
      <selection pane="bottomRight" activeCell="C111" sqref="C111:C114"/>
      <selection pane="bottomLeft"/>
      <selection pane="topRight"/>
    </sheetView>
  </sheetViews>
  <sheetFormatPr defaultColWidth="11.5546875" defaultRowHeight="15"/>
  <cols>
    <col min="1" max="1" width="11.109375" customWidth="1"/>
    <col min="2" max="2" width="7.21875" customWidth="1"/>
    <col min="3" max="3" width="56" customWidth="1"/>
    <col min="4" max="4" width="13.21875" customWidth="1"/>
    <col min="5" max="5" width="11.6640625" customWidth="1"/>
    <col min="6" max="6" width="10.21875" customWidth="1"/>
    <col min="7" max="7" width="10.33203125" customWidth="1"/>
    <col min="8" max="8" width="9.5546875" customWidth="1"/>
    <col min="9" max="9" width="5.77734375" customWidth="1"/>
    <col min="10" max="13" width="4.44140625" customWidth="1"/>
    <col min="14" max="14" width="4.88671875" customWidth="1"/>
    <col min="15" max="15" width="4.44140625" customWidth="1"/>
    <col min="16" max="16" width="6" customWidth="1"/>
    <col min="17" max="51" width="4.44140625" customWidth="1"/>
    <col min="52" max="52" width="6.33203125" customWidth="1"/>
    <col min="53" max="1031" width="11.109375" customWidth="1"/>
  </cols>
  <sheetData>
    <row r="1" spans="1:59" ht="15.6">
      <c r="C1" s="1" t="s">
        <v>0</v>
      </c>
      <c r="D1" s="1"/>
      <c r="E1" s="1"/>
      <c r="F1" s="1"/>
      <c r="G1" s="1"/>
      <c r="H1" s="1"/>
      <c r="I1">
        <v>1</v>
      </c>
      <c r="J1">
        <v>2</v>
      </c>
      <c r="K1">
        <v>3</v>
      </c>
      <c r="L1">
        <v>4</v>
      </c>
      <c r="M1">
        <v>5</v>
      </c>
      <c r="N1">
        <v>6</v>
      </c>
      <c r="O1">
        <v>7</v>
      </c>
      <c r="P1">
        <v>8</v>
      </c>
      <c r="Q1">
        <v>9</v>
      </c>
      <c r="R1">
        <v>10</v>
      </c>
      <c r="S1">
        <v>11</v>
      </c>
      <c r="T1">
        <v>12</v>
      </c>
      <c r="U1">
        <v>13</v>
      </c>
      <c r="V1">
        <v>14</v>
      </c>
      <c r="W1">
        <v>15</v>
      </c>
      <c r="X1">
        <v>16</v>
      </c>
      <c r="Y1">
        <v>17</v>
      </c>
      <c r="Z1">
        <v>18</v>
      </c>
      <c r="AA1">
        <v>19</v>
      </c>
      <c r="AB1">
        <v>20</v>
      </c>
      <c r="AC1">
        <v>21</v>
      </c>
    </row>
    <row r="2" spans="1:59" ht="15.6">
      <c r="C2" s="1" t="s">
        <v>1</v>
      </c>
      <c r="D2" s="1"/>
      <c r="E2" s="1"/>
      <c r="F2" s="1"/>
      <c r="G2" s="1"/>
      <c r="H2" s="1"/>
      <c r="I2">
        <f>J10</f>
        <v>549</v>
      </c>
      <c r="J2">
        <f>L10</f>
        <v>539</v>
      </c>
      <c r="K2">
        <f>N10</f>
        <v>536</v>
      </c>
      <c r="L2">
        <f>P10</f>
        <v>532</v>
      </c>
      <c r="M2">
        <f>R10</f>
        <v>532</v>
      </c>
      <c r="N2">
        <f>T10</f>
        <v>518</v>
      </c>
      <c r="O2">
        <f>V10</f>
        <v>503</v>
      </c>
      <c r="P2">
        <f>X10</f>
        <v>498</v>
      </c>
      <c r="Q2">
        <f>Z10</f>
        <v>484</v>
      </c>
      <c r="R2">
        <f>AB10</f>
        <v>473</v>
      </c>
      <c r="S2">
        <f>AD10</f>
        <v>458</v>
      </c>
      <c r="T2">
        <f>AF10</f>
        <v>448</v>
      </c>
      <c r="U2">
        <f>AH10</f>
        <v>421</v>
      </c>
      <c r="V2">
        <f>AJ10</f>
        <v>391</v>
      </c>
      <c r="W2">
        <f>AL10</f>
        <v>366</v>
      </c>
      <c r="X2">
        <f>AN10</f>
        <v>344</v>
      </c>
      <c r="Y2">
        <f>AP10</f>
        <v>344</v>
      </c>
      <c r="Z2">
        <f>AR10</f>
        <v>337</v>
      </c>
      <c r="AA2">
        <f>AT10</f>
        <v>328</v>
      </c>
      <c r="AB2">
        <f>AV10</f>
        <v>319</v>
      </c>
      <c r="AC2">
        <f>AX10</f>
        <v>283</v>
      </c>
      <c r="AD2">
        <f>AZ10</f>
        <v>271</v>
      </c>
    </row>
    <row r="3" spans="1:59" ht="15.6">
      <c r="C3" s="1" t="s">
        <v>2</v>
      </c>
      <c r="D3" s="1"/>
      <c r="E3" s="1"/>
      <c r="F3" s="1"/>
      <c r="G3" s="1"/>
      <c r="H3" s="1"/>
      <c r="I3">
        <f>K10</f>
        <v>9</v>
      </c>
      <c r="J3">
        <f>M10</f>
        <v>6</v>
      </c>
      <c r="K3">
        <f>O10</f>
        <v>4</v>
      </c>
      <c r="L3">
        <f>Q10</f>
        <v>4</v>
      </c>
      <c r="M3">
        <f>S10</f>
        <v>15</v>
      </c>
      <c r="N3">
        <f>U10</f>
        <v>15</v>
      </c>
      <c r="O3">
        <f>W10</f>
        <v>17</v>
      </c>
      <c r="P3">
        <f>Y10</f>
        <v>22</v>
      </c>
      <c r="Q3">
        <f>AA10</f>
        <v>18</v>
      </c>
      <c r="R3">
        <f>AC10</f>
        <v>14</v>
      </c>
      <c r="S3">
        <f>AE10</f>
        <v>16</v>
      </c>
      <c r="T3">
        <f>AG10</f>
        <v>34</v>
      </c>
      <c r="U3">
        <f>AI10</f>
        <v>29</v>
      </c>
      <c r="V3">
        <f>AK10</f>
        <v>27</v>
      </c>
      <c r="W3">
        <f>AM10</f>
        <v>23</v>
      </c>
      <c r="X3">
        <f>AO10</f>
        <v>12</v>
      </c>
      <c r="Y3">
        <f>AQ10</f>
        <v>11</v>
      </c>
      <c r="Z3">
        <f>AS10</f>
        <v>13</v>
      </c>
      <c r="AA3">
        <f>AU10</f>
        <v>19</v>
      </c>
      <c r="AB3">
        <f>AW10</f>
        <v>34</v>
      </c>
      <c r="AC3">
        <f>AY10</f>
        <v>0</v>
      </c>
      <c r="AD3">
        <f>BA10</f>
        <v>0</v>
      </c>
      <c r="AH3">
        <f>SUM(I3:AD3)</f>
        <v>342</v>
      </c>
    </row>
    <row r="4" spans="1:59" ht="15.6">
      <c r="C4" s="1"/>
      <c r="D4" s="1"/>
      <c r="E4" s="1"/>
      <c r="F4" s="1"/>
      <c r="G4" s="1"/>
      <c r="H4" s="1"/>
    </row>
    <row r="5" spans="1:59">
      <c r="C5" s="2"/>
      <c r="D5" s="2"/>
      <c r="E5" s="2"/>
      <c r="F5" s="2"/>
      <c r="G5" s="2"/>
      <c r="H5" s="2"/>
    </row>
    <row r="6" spans="1:59" ht="39.6">
      <c r="C6" s="22" t="s">
        <v>3</v>
      </c>
      <c r="D6" s="2"/>
      <c r="E6" s="2"/>
      <c r="F6" s="2"/>
      <c r="G6" s="2"/>
      <c r="H6" s="2"/>
    </row>
    <row r="7" spans="1:59" ht="15.6" customHeight="1" thickBot="1">
      <c r="J7" s="3"/>
      <c r="K7" s="3"/>
      <c r="X7" s="53">
        <v>45971</v>
      </c>
      <c r="Y7" s="53"/>
      <c r="Z7" s="53">
        <v>45972</v>
      </c>
      <c r="AA7" s="53"/>
      <c r="AB7" s="53">
        <v>45973</v>
      </c>
      <c r="AC7" s="53"/>
      <c r="AD7" s="53">
        <v>45974</v>
      </c>
      <c r="AE7" s="53"/>
      <c r="AF7" s="53">
        <v>45975</v>
      </c>
      <c r="AG7" s="53"/>
      <c r="AH7" s="53">
        <v>45976</v>
      </c>
      <c r="AI7" s="53"/>
      <c r="AJ7" s="53">
        <v>45977</v>
      </c>
      <c r="AK7" s="53"/>
      <c r="AL7" s="55">
        <v>45978</v>
      </c>
      <c r="AM7" s="55"/>
      <c r="AN7" s="53">
        <v>45979</v>
      </c>
      <c r="AO7" s="53"/>
      <c r="AP7" s="53">
        <v>45980</v>
      </c>
      <c r="AQ7" s="53"/>
      <c r="AR7" s="53">
        <v>45981</v>
      </c>
      <c r="AS7" s="53"/>
      <c r="AT7" s="53">
        <v>45982</v>
      </c>
      <c r="AU7" s="53"/>
      <c r="AV7" s="53">
        <v>45983</v>
      </c>
      <c r="AW7" s="53"/>
      <c r="AX7" s="54">
        <v>45984</v>
      </c>
      <c r="AY7" s="54"/>
    </row>
    <row r="8" spans="1:59" ht="15.6" thickBot="1">
      <c r="B8" s="61" t="s">
        <v>4</v>
      </c>
      <c r="C8" s="4"/>
      <c r="D8" s="66" t="s">
        <v>5</v>
      </c>
      <c r="E8" s="67"/>
      <c r="F8" s="67"/>
      <c r="G8" s="67"/>
      <c r="H8" s="67"/>
      <c r="I8" s="62" t="s">
        <v>6</v>
      </c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3"/>
      <c r="AW8" s="63"/>
      <c r="AX8" s="63"/>
      <c r="AY8" s="64"/>
      <c r="BB8" s="56" t="s">
        <v>7</v>
      </c>
      <c r="BC8" s="58" t="s">
        <v>8</v>
      </c>
      <c r="BD8" s="58"/>
      <c r="BE8" s="58"/>
      <c r="BF8" s="58"/>
      <c r="BG8" s="59"/>
    </row>
    <row r="9" spans="1:59" ht="15.6" thickBot="1">
      <c r="B9" s="61"/>
      <c r="C9" s="5" t="s">
        <v>9</v>
      </c>
      <c r="D9" s="68"/>
      <c r="E9" s="69"/>
      <c r="F9" s="69"/>
      <c r="G9" s="69"/>
      <c r="H9" s="69"/>
      <c r="I9">
        <v>0</v>
      </c>
      <c r="J9" s="65">
        <f>I9+1</f>
        <v>1</v>
      </c>
      <c r="K9" s="65"/>
      <c r="L9" s="65">
        <f>J9+1</f>
        <v>2</v>
      </c>
      <c r="M9" s="65"/>
      <c r="N9" s="65">
        <f>L9+1</f>
        <v>3</v>
      </c>
      <c r="O9" s="65"/>
      <c r="P9" s="65">
        <f>N9+1</f>
        <v>4</v>
      </c>
      <c r="Q9" s="65"/>
      <c r="R9" s="65">
        <f>P9+1</f>
        <v>5</v>
      </c>
      <c r="S9" s="65"/>
      <c r="T9" s="65">
        <f>R9+1</f>
        <v>6</v>
      </c>
      <c r="U9" s="65"/>
      <c r="V9" s="65">
        <f>T9+1</f>
        <v>7</v>
      </c>
      <c r="W9" s="65"/>
      <c r="X9" s="65">
        <f>V9+1</f>
        <v>8</v>
      </c>
      <c r="Y9" s="65"/>
      <c r="Z9" s="65">
        <f>X9+1</f>
        <v>9</v>
      </c>
      <c r="AA9" s="65"/>
      <c r="AB9" s="65">
        <f>Z9+1</f>
        <v>10</v>
      </c>
      <c r="AC9" s="65"/>
      <c r="AD9" s="65">
        <f>AB9+1</f>
        <v>11</v>
      </c>
      <c r="AE9" s="65"/>
      <c r="AF9" s="65">
        <f>AD9+1</f>
        <v>12</v>
      </c>
      <c r="AG9" s="65"/>
      <c r="AH9" s="65">
        <f>AF9+1</f>
        <v>13</v>
      </c>
      <c r="AI9" s="65"/>
      <c r="AJ9" s="60">
        <f>AH9+1</f>
        <v>14</v>
      </c>
      <c r="AK9" s="60"/>
      <c r="AL9" s="65">
        <f>AJ9+1</f>
        <v>15</v>
      </c>
      <c r="AM9" s="65"/>
      <c r="AN9" s="65">
        <f>AL9+1</f>
        <v>16</v>
      </c>
      <c r="AO9" s="65"/>
      <c r="AP9" s="65">
        <f>AN9+1</f>
        <v>17</v>
      </c>
      <c r="AQ9" s="65"/>
      <c r="AR9" s="65">
        <f>AP9+1</f>
        <v>18</v>
      </c>
      <c r="AS9" s="65"/>
      <c r="AT9" s="65">
        <f>AR9+1</f>
        <v>19</v>
      </c>
      <c r="AU9" s="65"/>
      <c r="AV9" s="65">
        <f>AT9+1</f>
        <v>20</v>
      </c>
      <c r="AW9" s="65"/>
      <c r="AX9" s="70">
        <v>21</v>
      </c>
      <c r="AY9" s="70"/>
      <c r="AZ9" s="6">
        <f>AX9+1</f>
        <v>22</v>
      </c>
      <c r="BB9" s="57"/>
      <c r="BC9" s="15" t="str">
        <f>D10</f>
        <v>Oryna</v>
      </c>
      <c r="BD9" s="15" t="str">
        <f>F10</f>
        <v>Romuald</v>
      </c>
      <c r="BE9" s="15" t="str">
        <f>G10</f>
        <v>Kenny</v>
      </c>
      <c r="BF9" s="15" t="str">
        <f>E10</f>
        <v>Aziz</v>
      </c>
      <c r="BG9" s="16" t="str">
        <f>H10</f>
        <v>Joana</v>
      </c>
    </row>
    <row r="10" spans="1:59" ht="21.75" customHeight="1" thickBot="1">
      <c r="B10" s="61"/>
      <c r="C10" s="7"/>
      <c r="D10" s="3" t="str">
        <f>team!D2</f>
        <v>Oryna</v>
      </c>
      <c r="E10" s="3" t="str">
        <f>team!D3</f>
        <v>Aziz</v>
      </c>
      <c r="F10" s="3" t="str">
        <f>team!D6</f>
        <v>Romuald</v>
      </c>
      <c r="G10" s="3" t="str">
        <f>team!D5</f>
        <v>Kenny</v>
      </c>
      <c r="H10" s="3" t="str">
        <f>team!D4</f>
        <v>Joana</v>
      </c>
      <c r="I10" s="3">
        <f t="shared" ref="I10:AX10" si="0">SUM(I11:I506)</f>
        <v>555</v>
      </c>
      <c r="J10" s="3">
        <f t="shared" si="0"/>
        <v>549</v>
      </c>
      <c r="K10" s="3">
        <f t="shared" si="0"/>
        <v>9</v>
      </c>
      <c r="L10" s="3">
        <f t="shared" si="0"/>
        <v>539</v>
      </c>
      <c r="M10" s="3">
        <f t="shared" si="0"/>
        <v>6</v>
      </c>
      <c r="N10" s="3">
        <f t="shared" si="0"/>
        <v>536</v>
      </c>
      <c r="O10" s="3">
        <f t="shared" si="0"/>
        <v>4</v>
      </c>
      <c r="P10" s="3">
        <f t="shared" si="0"/>
        <v>532</v>
      </c>
      <c r="Q10" s="3">
        <f t="shared" si="0"/>
        <v>4</v>
      </c>
      <c r="R10" s="3">
        <f t="shared" si="0"/>
        <v>532</v>
      </c>
      <c r="S10" s="3">
        <f t="shared" si="0"/>
        <v>15</v>
      </c>
      <c r="T10" s="3">
        <f t="shared" si="0"/>
        <v>518</v>
      </c>
      <c r="U10" s="3">
        <f t="shared" si="0"/>
        <v>15</v>
      </c>
      <c r="V10" s="3">
        <f t="shared" si="0"/>
        <v>503</v>
      </c>
      <c r="W10" s="3">
        <f t="shared" si="0"/>
        <v>17</v>
      </c>
      <c r="X10" s="3">
        <f t="shared" si="0"/>
        <v>498</v>
      </c>
      <c r="Y10" s="3">
        <f t="shared" si="0"/>
        <v>22</v>
      </c>
      <c r="Z10" s="3">
        <f t="shared" si="0"/>
        <v>484</v>
      </c>
      <c r="AA10" s="3">
        <f t="shared" si="0"/>
        <v>18</v>
      </c>
      <c r="AB10" s="3">
        <f t="shared" si="0"/>
        <v>473</v>
      </c>
      <c r="AC10" s="3">
        <f t="shared" si="0"/>
        <v>14</v>
      </c>
      <c r="AD10" s="3">
        <f t="shared" si="0"/>
        <v>458</v>
      </c>
      <c r="AE10" s="3">
        <f t="shared" si="0"/>
        <v>16</v>
      </c>
      <c r="AF10" s="3">
        <f t="shared" si="0"/>
        <v>448</v>
      </c>
      <c r="AG10" s="3">
        <f t="shared" si="0"/>
        <v>34</v>
      </c>
      <c r="AH10" s="3">
        <f t="shared" si="0"/>
        <v>421</v>
      </c>
      <c r="AI10" s="3">
        <f t="shared" si="0"/>
        <v>29</v>
      </c>
      <c r="AJ10" s="3">
        <f t="shared" si="0"/>
        <v>391</v>
      </c>
      <c r="AK10" s="3">
        <f t="shared" si="0"/>
        <v>27</v>
      </c>
      <c r="AL10" s="3">
        <f t="shared" si="0"/>
        <v>366</v>
      </c>
      <c r="AM10" s="3">
        <f t="shared" si="0"/>
        <v>23</v>
      </c>
      <c r="AN10" s="3">
        <f t="shared" si="0"/>
        <v>344</v>
      </c>
      <c r="AO10" s="3">
        <f t="shared" si="0"/>
        <v>12</v>
      </c>
      <c r="AP10" s="3">
        <f t="shared" si="0"/>
        <v>344</v>
      </c>
      <c r="AQ10" s="3">
        <f t="shared" si="0"/>
        <v>11</v>
      </c>
      <c r="AR10" s="3">
        <f t="shared" si="0"/>
        <v>337</v>
      </c>
      <c r="AS10" s="3">
        <f t="shared" si="0"/>
        <v>13</v>
      </c>
      <c r="AT10" s="3">
        <f t="shared" si="0"/>
        <v>328</v>
      </c>
      <c r="AU10" s="3">
        <f t="shared" si="0"/>
        <v>19</v>
      </c>
      <c r="AV10" s="3">
        <f t="shared" si="0"/>
        <v>319</v>
      </c>
      <c r="AW10" s="3">
        <f t="shared" si="0"/>
        <v>34</v>
      </c>
      <c r="AX10" s="3">
        <f t="shared" si="0"/>
        <v>283</v>
      </c>
      <c r="AY10" s="8"/>
      <c r="AZ10" s="3">
        <f>SUM(AZ11:AZ506)</f>
        <v>271</v>
      </c>
      <c r="BB10" s="17">
        <f t="shared" ref="BB10:BG10" si="1">SUM(BB11:BB506)</f>
        <v>366</v>
      </c>
      <c r="BC10" s="18">
        <f t="shared" si="1"/>
        <v>88</v>
      </c>
      <c r="BD10" s="18">
        <f t="shared" si="1"/>
        <v>69</v>
      </c>
      <c r="BE10" s="18">
        <f t="shared" si="1"/>
        <v>41</v>
      </c>
      <c r="BF10" s="18">
        <f t="shared" si="1"/>
        <v>77</v>
      </c>
      <c r="BG10" s="19">
        <f t="shared" si="1"/>
        <v>72</v>
      </c>
    </row>
    <row r="11" spans="1:59" ht="15.75">
      <c r="A11" s="45" t="s">
        <v>10</v>
      </c>
      <c r="B11" s="9">
        <v>1</v>
      </c>
      <c r="C11" s="38" t="s">
        <v>11</v>
      </c>
      <c r="D11" s="26">
        <v>1</v>
      </c>
      <c r="E11" s="13"/>
      <c r="F11" s="13"/>
      <c r="G11" s="13"/>
      <c r="H11" s="13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8"/>
      <c r="BB11" s="20"/>
      <c r="BF11" s="20"/>
      <c r="BG11" s="20"/>
    </row>
    <row r="12" spans="1:59">
      <c r="A12" s="44"/>
      <c r="B12" s="12"/>
      <c r="C12" s="39" t="s">
        <v>12</v>
      </c>
      <c r="D12" s="14">
        <v>1</v>
      </c>
      <c r="E12" s="14">
        <v>0</v>
      </c>
      <c r="F12" s="14">
        <v>0</v>
      </c>
      <c r="G12" s="14">
        <v>0</v>
      </c>
      <c r="H12" s="14">
        <v>0</v>
      </c>
      <c r="I12">
        <v>8</v>
      </c>
      <c r="J12">
        <f>I12</f>
        <v>8</v>
      </c>
      <c r="K12">
        <v>2</v>
      </c>
      <c r="L12">
        <f>J12-K12</f>
        <v>6</v>
      </c>
      <c r="M12">
        <v>1</v>
      </c>
      <c r="N12">
        <f>L12-M12</f>
        <v>5</v>
      </c>
      <c r="O12">
        <v>0</v>
      </c>
      <c r="P12">
        <f>N12-O12</f>
        <v>5</v>
      </c>
      <c r="Q12">
        <v>0</v>
      </c>
      <c r="R12">
        <f>P12-Q12</f>
        <v>5</v>
      </c>
      <c r="S12">
        <v>1</v>
      </c>
      <c r="T12">
        <f>R12-S12</f>
        <v>4</v>
      </c>
      <c r="U12">
        <v>0</v>
      </c>
      <c r="V12">
        <f>T12-U12</f>
        <v>4</v>
      </c>
      <c r="W12">
        <v>0</v>
      </c>
      <c r="X12">
        <f>V12-W12</f>
        <v>4</v>
      </c>
      <c r="Y12">
        <v>1</v>
      </c>
      <c r="Z12">
        <f>X12-Y12</f>
        <v>3</v>
      </c>
      <c r="AA12">
        <v>0</v>
      </c>
      <c r="AB12">
        <f>Z12-AA12</f>
        <v>3</v>
      </c>
      <c r="AC12">
        <v>1</v>
      </c>
      <c r="AD12">
        <f>AB12-AC12</f>
        <v>2</v>
      </c>
      <c r="AE12">
        <v>1</v>
      </c>
      <c r="AF12">
        <f>AD12-AE12</f>
        <v>1</v>
      </c>
      <c r="AG12">
        <v>0</v>
      </c>
      <c r="AH12">
        <f>AF12-AG12</f>
        <v>1</v>
      </c>
      <c r="AI12">
        <v>1</v>
      </c>
      <c r="AJ12">
        <f>AH12-AI12</f>
        <v>0</v>
      </c>
      <c r="AK12">
        <v>0</v>
      </c>
      <c r="AL12">
        <f>AJ12-AK12</f>
        <v>0</v>
      </c>
      <c r="AM12">
        <v>0</v>
      </c>
      <c r="AN12">
        <f>AL12-AM12</f>
        <v>0</v>
      </c>
      <c r="AO12">
        <v>0</v>
      </c>
      <c r="AP12">
        <f>AN12-AO12</f>
        <v>0</v>
      </c>
      <c r="AQ12">
        <v>0</v>
      </c>
      <c r="AR12">
        <f>AP12-AQ12</f>
        <v>0</v>
      </c>
      <c r="AS12">
        <v>0</v>
      </c>
      <c r="AT12">
        <f>AR12-AS12</f>
        <v>0</v>
      </c>
      <c r="AU12">
        <v>0</v>
      </c>
      <c r="AV12">
        <f>AT12-AU12</f>
        <v>0</v>
      </c>
      <c r="AW12">
        <v>0</v>
      </c>
      <c r="AX12">
        <f>AV12-AW12</f>
        <v>0</v>
      </c>
      <c r="AY12" s="8">
        <v>0</v>
      </c>
      <c r="AZ12" s="8">
        <f>AX12-AY12</f>
        <v>0</v>
      </c>
      <c r="BB12" s="21">
        <f>AY12+AW12+AU12+AS12+AQ12+AO12+AM12+AK12+AI12+AG12+AE12+AC12+AA12+Y12+W12+U12+S12+Q12+O12+M12+K12</f>
        <v>8</v>
      </c>
      <c r="BC12">
        <f>BB12*D12</f>
        <v>8</v>
      </c>
      <c r="BD12">
        <f t="shared" ref="BD12:BE15" si="2">BC12*F12</f>
        <v>0</v>
      </c>
      <c r="BE12">
        <f t="shared" si="2"/>
        <v>0</v>
      </c>
      <c r="BF12" s="21">
        <f>BB12*E12</f>
        <v>0</v>
      </c>
      <c r="BG12" s="21">
        <f>BB12*H12</f>
        <v>0</v>
      </c>
    </row>
    <row r="13" spans="1:59" ht="16.5" customHeight="1">
      <c r="A13" s="44"/>
      <c r="B13" s="12"/>
      <c r="C13" s="39" t="s">
        <v>13</v>
      </c>
      <c r="D13" s="14">
        <v>1</v>
      </c>
      <c r="E13" s="14">
        <v>0</v>
      </c>
      <c r="F13" s="14">
        <v>0</v>
      </c>
      <c r="G13" s="14">
        <v>0</v>
      </c>
      <c r="H13" s="14">
        <f t="shared" ref="H13" si="3">1-D13-E13</f>
        <v>0</v>
      </c>
      <c r="I13">
        <v>8</v>
      </c>
      <c r="J13">
        <f>I13</f>
        <v>8</v>
      </c>
      <c r="K13">
        <v>0</v>
      </c>
      <c r="L13">
        <f t="shared" ref="L13:L54" si="4">J13-K13</f>
        <v>8</v>
      </c>
      <c r="M13">
        <v>0</v>
      </c>
      <c r="N13">
        <f>L13-M13</f>
        <v>8</v>
      </c>
      <c r="O13">
        <v>0</v>
      </c>
      <c r="P13">
        <f>N13-O13</f>
        <v>8</v>
      </c>
      <c r="Q13">
        <v>0</v>
      </c>
      <c r="R13">
        <f>P13-Q13</f>
        <v>8</v>
      </c>
      <c r="S13">
        <v>0</v>
      </c>
      <c r="T13">
        <f>R13-S13</f>
        <v>8</v>
      </c>
      <c r="U13">
        <v>0</v>
      </c>
      <c r="V13">
        <f>T13-U13</f>
        <v>8</v>
      </c>
      <c r="W13">
        <v>0</v>
      </c>
      <c r="X13">
        <f>V13-W13</f>
        <v>8</v>
      </c>
      <c r="Y13">
        <v>0</v>
      </c>
      <c r="Z13">
        <f>X13-Y13</f>
        <v>8</v>
      </c>
      <c r="AA13">
        <v>0</v>
      </c>
      <c r="AB13">
        <f>Z13-AA13</f>
        <v>8</v>
      </c>
      <c r="AC13">
        <v>0</v>
      </c>
      <c r="AD13">
        <f>AB13-AC13</f>
        <v>8</v>
      </c>
      <c r="AE13">
        <v>1</v>
      </c>
      <c r="AF13">
        <f>AD13-AE13</f>
        <v>7</v>
      </c>
      <c r="AG13">
        <v>2</v>
      </c>
      <c r="AH13">
        <f>AF13-AG13</f>
        <v>5</v>
      </c>
      <c r="AI13">
        <v>1</v>
      </c>
      <c r="AJ13">
        <f>AH13-AI13</f>
        <v>4</v>
      </c>
      <c r="AK13">
        <v>3</v>
      </c>
      <c r="AL13">
        <f>AJ13-AK13</f>
        <v>1</v>
      </c>
      <c r="AM13">
        <v>0</v>
      </c>
      <c r="AN13">
        <f>AL13-AM13</f>
        <v>1</v>
      </c>
      <c r="AO13">
        <v>0</v>
      </c>
      <c r="AP13">
        <f>AN13-AO13</f>
        <v>1</v>
      </c>
      <c r="AQ13">
        <v>1</v>
      </c>
      <c r="AR13">
        <f>AP13-AQ13</f>
        <v>0</v>
      </c>
      <c r="AS13">
        <v>0</v>
      </c>
      <c r="AT13">
        <f>AR13-AS13</f>
        <v>0</v>
      </c>
      <c r="AU13">
        <v>0</v>
      </c>
      <c r="AV13">
        <f>AT13-AU13</f>
        <v>0</v>
      </c>
      <c r="AW13">
        <v>0</v>
      </c>
      <c r="AX13">
        <f>AV13-AW13</f>
        <v>0</v>
      </c>
      <c r="AY13" s="8">
        <v>0</v>
      </c>
      <c r="AZ13" s="8">
        <f>AX13-AY13</f>
        <v>0</v>
      </c>
      <c r="BB13" s="21">
        <f>AY13+AW13+AU13+AS13+AQ13+AO13+AM13+AK13+AI13+AG13+AE13+AC13+AA13+Y13+W13+U13+S13+Q13+O13+M13+K13</f>
        <v>8</v>
      </c>
      <c r="BC13">
        <f>$BB13*D13</f>
        <v>8</v>
      </c>
      <c r="BD13">
        <f t="shared" si="2"/>
        <v>0</v>
      </c>
      <c r="BE13">
        <f t="shared" si="2"/>
        <v>0</v>
      </c>
      <c r="BF13" s="21">
        <f>$BB13*E13</f>
        <v>0</v>
      </c>
      <c r="BG13" s="21">
        <f>$BB13*H13</f>
        <v>0</v>
      </c>
    </row>
    <row r="14" spans="1:59" ht="14.25" customHeight="1">
      <c r="A14" s="44"/>
      <c r="B14" s="12"/>
      <c r="C14" s="39" t="s">
        <v>14</v>
      </c>
      <c r="D14" s="14">
        <v>1</v>
      </c>
      <c r="E14" s="14">
        <v>0</v>
      </c>
      <c r="F14" s="14">
        <v>0</v>
      </c>
      <c r="G14" s="14">
        <v>0</v>
      </c>
      <c r="H14" s="14">
        <f>1-D14-E14</f>
        <v>0</v>
      </c>
      <c r="I14">
        <v>2</v>
      </c>
      <c r="J14">
        <f>I14</f>
        <v>2</v>
      </c>
      <c r="K14">
        <v>0</v>
      </c>
      <c r="L14">
        <f t="shared" si="4"/>
        <v>2</v>
      </c>
      <c r="M14">
        <v>0</v>
      </c>
      <c r="N14">
        <f>L14-M14</f>
        <v>2</v>
      </c>
      <c r="O14">
        <v>0</v>
      </c>
      <c r="P14">
        <f>N14-O14</f>
        <v>2</v>
      </c>
      <c r="Q14">
        <v>0</v>
      </c>
      <c r="R14">
        <f>P14-Q14</f>
        <v>2</v>
      </c>
      <c r="S14">
        <v>0</v>
      </c>
      <c r="T14">
        <f>R14-S14</f>
        <v>2</v>
      </c>
      <c r="V14">
        <f>T14-U14</f>
        <v>2</v>
      </c>
      <c r="X14">
        <f>V14-W14</f>
        <v>2</v>
      </c>
      <c r="Z14">
        <f>X14-Y14</f>
        <v>2</v>
      </c>
      <c r="AB14">
        <f>Z14-AA14</f>
        <v>2</v>
      </c>
      <c r="AD14">
        <f>AB14-AC14</f>
        <v>2</v>
      </c>
      <c r="AF14">
        <f>AD14-AE14</f>
        <v>2</v>
      </c>
      <c r="AH14">
        <f>AF14-AG14</f>
        <v>2</v>
      </c>
      <c r="AJ14">
        <f>AH14-AI14</f>
        <v>2</v>
      </c>
      <c r="AK14">
        <v>2</v>
      </c>
      <c r="AL14">
        <v>3</v>
      </c>
      <c r="AM14">
        <v>1</v>
      </c>
      <c r="AN14">
        <f>AL14-AM14</f>
        <v>2</v>
      </c>
      <c r="AO14">
        <v>0</v>
      </c>
      <c r="AP14">
        <f>AN14-AO14</f>
        <v>2</v>
      </c>
      <c r="AQ14">
        <v>2</v>
      </c>
      <c r="AR14">
        <v>4</v>
      </c>
      <c r="AS14">
        <v>2</v>
      </c>
      <c r="AT14">
        <f>AR14-AS14</f>
        <v>2</v>
      </c>
      <c r="AU14">
        <v>0</v>
      </c>
      <c r="AV14">
        <f>AT14-AU14</f>
        <v>2</v>
      </c>
      <c r="AW14">
        <v>0</v>
      </c>
      <c r="AX14">
        <f>AV14-AW14</f>
        <v>2</v>
      </c>
      <c r="AY14" s="8">
        <v>2</v>
      </c>
      <c r="AZ14" s="8">
        <f>AX14-AY14</f>
        <v>0</v>
      </c>
      <c r="BB14" s="21">
        <f t="shared" ref="BB14" si="5">AY14+AW14+AU14+AS14+AQ14+AO14+AM14+AK14+AI14+AG14+AE14+AC14+AA14+Y14+W14+U14+S14+Q14+O14+M14+K14</f>
        <v>9</v>
      </c>
      <c r="BC14">
        <f>$BB14*D14</f>
        <v>9</v>
      </c>
      <c r="BD14">
        <f t="shared" si="2"/>
        <v>0</v>
      </c>
      <c r="BE14">
        <f t="shared" si="2"/>
        <v>0</v>
      </c>
      <c r="BF14" s="21">
        <f>$BB14*E14</f>
        <v>0</v>
      </c>
      <c r="BG14" s="21">
        <f>$BB14*H14</f>
        <v>0</v>
      </c>
    </row>
    <row r="15" spans="1:59">
      <c r="A15" s="44"/>
      <c r="B15" s="12"/>
      <c r="C15" s="39" t="s">
        <v>15</v>
      </c>
      <c r="D15" s="14">
        <v>1</v>
      </c>
      <c r="E15" s="14">
        <v>0</v>
      </c>
      <c r="F15" s="14">
        <v>0</v>
      </c>
      <c r="G15" s="14">
        <v>0</v>
      </c>
      <c r="H15" s="14">
        <f>1-D15-E15</f>
        <v>0</v>
      </c>
      <c r="I15">
        <v>5</v>
      </c>
      <c r="J15">
        <f>I15</f>
        <v>5</v>
      </c>
      <c r="K15">
        <v>0</v>
      </c>
      <c r="L15">
        <f>J15-K15</f>
        <v>5</v>
      </c>
      <c r="M15">
        <v>0</v>
      </c>
      <c r="N15">
        <f>L15-M15</f>
        <v>5</v>
      </c>
      <c r="O15">
        <v>0</v>
      </c>
      <c r="P15">
        <f>N15-O15</f>
        <v>5</v>
      </c>
      <c r="Q15">
        <v>0</v>
      </c>
      <c r="R15">
        <f>P15-Q15</f>
        <v>5</v>
      </c>
      <c r="S15">
        <v>0</v>
      </c>
      <c r="T15">
        <f>R15-S15</f>
        <v>5</v>
      </c>
      <c r="U15">
        <v>0</v>
      </c>
      <c r="V15">
        <f>T15-U15</f>
        <v>5</v>
      </c>
      <c r="W15">
        <v>0</v>
      </c>
      <c r="X15">
        <f>V15-W15</f>
        <v>5</v>
      </c>
      <c r="Y15">
        <v>0</v>
      </c>
      <c r="Z15">
        <f>X15-Y15</f>
        <v>5</v>
      </c>
      <c r="AA15">
        <v>0</v>
      </c>
      <c r="AB15">
        <f>Z15-AA15</f>
        <v>5</v>
      </c>
      <c r="AC15">
        <v>0</v>
      </c>
      <c r="AD15">
        <f>AB15-AC15</f>
        <v>5</v>
      </c>
      <c r="AE15">
        <v>0</v>
      </c>
      <c r="AF15">
        <f>AD15-AE15</f>
        <v>5</v>
      </c>
      <c r="AG15">
        <v>0</v>
      </c>
      <c r="AH15">
        <f>AF15-AG15</f>
        <v>5</v>
      </c>
      <c r="AI15">
        <v>0</v>
      </c>
      <c r="AJ15">
        <f>AH15-AI15</f>
        <v>5</v>
      </c>
      <c r="AK15">
        <v>3</v>
      </c>
      <c r="AL15">
        <f>AJ15-AK15</f>
        <v>2</v>
      </c>
      <c r="AM15">
        <v>2</v>
      </c>
      <c r="AN15">
        <f>AL15-AM15</f>
        <v>0</v>
      </c>
      <c r="AO15">
        <v>0</v>
      </c>
      <c r="AP15">
        <f>AN15-AO15</f>
        <v>0</v>
      </c>
      <c r="AQ15">
        <v>0</v>
      </c>
      <c r="AR15">
        <f>AP15-AQ15</f>
        <v>0</v>
      </c>
      <c r="AS15">
        <v>0</v>
      </c>
      <c r="AT15">
        <f>AR15-AS15</f>
        <v>0</v>
      </c>
      <c r="AU15">
        <v>0</v>
      </c>
      <c r="AV15">
        <f>AT15-AU15</f>
        <v>0</v>
      </c>
      <c r="AW15">
        <v>0</v>
      </c>
      <c r="AX15">
        <f>AV15-AW15</f>
        <v>0</v>
      </c>
      <c r="AY15" s="8">
        <v>0</v>
      </c>
      <c r="AZ15" s="8">
        <f>AX15-AY15</f>
        <v>0</v>
      </c>
      <c r="BB15" s="21">
        <f>AY15+AW15+AU15+AS15+AQ15+AO15+AM15+AK15+AI15+AG15+AE15+AC15+AA15+Y15+W15+U15+S15+Q15+O15+M15+K15</f>
        <v>5</v>
      </c>
      <c r="BC15">
        <f>$BB15*D15</f>
        <v>5</v>
      </c>
      <c r="BD15">
        <f t="shared" si="2"/>
        <v>0</v>
      </c>
      <c r="BE15">
        <f t="shared" si="2"/>
        <v>0</v>
      </c>
      <c r="BF15" s="21">
        <f>$BB15*E15</f>
        <v>0</v>
      </c>
      <c r="BG15" s="21">
        <f>$BB15*H15</f>
        <v>0</v>
      </c>
    </row>
    <row r="16" spans="1:59">
      <c r="A16" s="44"/>
      <c r="B16" s="9">
        <v>2</v>
      </c>
      <c r="C16" s="38" t="s">
        <v>16</v>
      </c>
      <c r="D16" s="30">
        <v>1</v>
      </c>
      <c r="E16" s="13"/>
      <c r="F16" s="13"/>
      <c r="G16" s="13"/>
      <c r="H16" s="13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8"/>
      <c r="AZ16" s="11"/>
      <c r="BB16" s="21"/>
      <c r="BF16" s="21"/>
      <c r="BG16" s="21"/>
    </row>
    <row r="17" spans="1:59">
      <c r="A17" s="44"/>
      <c r="B17" s="12"/>
      <c r="C17" s="39" t="s">
        <v>17</v>
      </c>
      <c r="D17" s="14">
        <v>1</v>
      </c>
      <c r="E17" s="14">
        <v>0</v>
      </c>
      <c r="F17" s="14">
        <v>0</v>
      </c>
      <c r="G17" s="14">
        <v>0</v>
      </c>
      <c r="H17" s="14">
        <f>1-D17-E17</f>
        <v>0</v>
      </c>
      <c r="I17">
        <v>6</v>
      </c>
      <c r="J17">
        <f>I17</f>
        <v>6</v>
      </c>
      <c r="K17">
        <v>0</v>
      </c>
      <c r="L17">
        <f t="shared" si="4"/>
        <v>6</v>
      </c>
      <c r="M17">
        <v>0</v>
      </c>
      <c r="N17">
        <f>L17-M17</f>
        <v>6</v>
      </c>
      <c r="O17">
        <v>0</v>
      </c>
      <c r="P17">
        <f>N17-O17</f>
        <v>6</v>
      </c>
      <c r="Q17">
        <v>0</v>
      </c>
      <c r="R17">
        <f>P17-Q17</f>
        <v>6</v>
      </c>
      <c r="S17">
        <v>0</v>
      </c>
      <c r="T17">
        <f>R17-S17</f>
        <v>6</v>
      </c>
      <c r="U17">
        <v>0</v>
      </c>
      <c r="V17">
        <f>T17-U17</f>
        <v>6</v>
      </c>
      <c r="W17">
        <v>0</v>
      </c>
      <c r="X17">
        <f>V17-W17</f>
        <v>6</v>
      </c>
      <c r="Y17">
        <v>0</v>
      </c>
      <c r="Z17">
        <f>X17-Y17</f>
        <v>6</v>
      </c>
      <c r="AA17">
        <v>0</v>
      </c>
      <c r="AB17">
        <f>Z17-AA17</f>
        <v>6</v>
      </c>
      <c r="AC17">
        <v>0</v>
      </c>
      <c r="AD17">
        <f>AB17-AC17</f>
        <v>6</v>
      </c>
      <c r="AE17">
        <v>0</v>
      </c>
      <c r="AF17">
        <f>AD17-AE17</f>
        <v>6</v>
      </c>
      <c r="AG17">
        <v>0</v>
      </c>
      <c r="AH17">
        <f>AF17-AG17</f>
        <v>6</v>
      </c>
      <c r="AI17">
        <v>0</v>
      </c>
      <c r="AJ17">
        <f>AH17-AI17</f>
        <v>6</v>
      </c>
      <c r="AK17">
        <v>0</v>
      </c>
      <c r="AL17">
        <f>AJ17-AK17</f>
        <v>6</v>
      </c>
      <c r="AM17">
        <v>0</v>
      </c>
      <c r="AN17">
        <f>AL17-AM17</f>
        <v>6</v>
      </c>
      <c r="AO17">
        <v>0</v>
      </c>
      <c r="AP17">
        <f>AN17-AO17</f>
        <v>6</v>
      </c>
      <c r="AQ17">
        <v>0</v>
      </c>
      <c r="AR17">
        <f>AP17-AQ17</f>
        <v>6</v>
      </c>
      <c r="AS17">
        <v>0</v>
      </c>
      <c r="AT17">
        <f>AR17-AS17</f>
        <v>6</v>
      </c>
      <c r="AU17">
        <v>0</v>
      </c>
      <c r="AV17">
        <f>AT17-AU17</f>
        <v>6</v>
      </c>
      <c r="AW17">
        <v>0</v>
      </c>
      <c r="AX17">
        <f>AV17-AW17</f>
        <v>6</v>
      </c>
      <c r="AY17" s="8">
        <v>0</v>
      </c>
      <c r="AZ17" s="8">
        <f>AX17-AY17</f>
        <v>6</v>
      </c>
      <c r="BB17" s="21">
        <v>5</v>
      </c>
      <c r="BC17">
        <f>$BB17*D17</f>
        <v>5</v>
      </c>
      <c r="BD17">
        <f t="shared" ref="BD17:BE20" si="6">BC17*F17</f>
        <v>0</v>
      </c>
      <c r="BE17">
        <f t="shared" si="6"/>
        <v>0</v>
      </c>
      <c r="BF17" s="21">
        <f>$BB17*E17</f>
        <v>0</v>
      </c>
      <c r="BG17" s="21">
        <f>$BB17*H17</f>
        <v>0</v>
      </c>
    </row>
    <row r="18" spans="1:59" ht="26.45">
      <c r="A18" s="44"/>
      <c r="B18" s="12"/>
      <c r="C18" s="39" t="s">
        <v>18</v>
      </c>
      <c r="D18" s="14">
        <v>1</v>
      </c>
      <c r="E18" s="14">
        <v>0</v>
      </c>
      <c r="F18" s="14">
        <v>0</v>
      </c>
      <c r="G18" s="14">
        <v>0</v>
      </c>
      <c r="H18" s="14">
        <f>1-D18-E18</f>
        <v>0</v>
      </c>
      <c r="I18">
        <v>6</v>
      </c>
      <c r="J18">
        <f>I18</f>
        <v>6</v>
      </c>
      <c r="K18">
        <v>0</v>
      </c>
      <c r="L18">
        <f t="shared" si="4"/>
        <v>6</v>
      </c>
      <c r="M18">
        <v>0</v>
      </c>
      <c r="N18">
        <f>L18-M18</f>
        <v>6</v>
      </c>
      <c r="O18">
        <v>0</v>
      </c>
      <c r="P18">
        <f>N18-O18</f>
        <v>6</v>
      </c>
      <c r="Q18">
        <v>0</v>
      </c>
      <c r="R18">
        <f>P18-Q18</f>
        <v>6</v>
      </c>
      <c r="S18">
        <v>0</v>
      </c>
      <c r="T18">
        <f>R18-S18</f>
        <v>6</v>
      </c>
      <c r="U18">
        <v>0</v>
      </c>
      <c r="V18">
        <f>T18-U18</f>
        <v>6</v>
      </c>
      <c r="W18">
        <v>0</v>
      </c>
      <c r="X18">
        <f>V18-W18</f>
        <v>6</v>
      </c>
      <c r="Y18">
        <v>0</v>
      </c>
      <c r="Z18">
        <f>X18-Y18</f>
        <v>6</v>
      </c>
      <c r="AA18">
        <v>0</v>
      </c>
      <c r="AB18">
        <f>Z18-AA18</f>
        <v>6</v>
      </c>
      <c r="AC18">
        <v>0</v>
      </c>
      <c r="AD18">
        <f>AB18-AC18</f>
        <v>6</v>
      </c>
      <c r="AE18">
        <v>0</v>
      </c>
      <c r="AF18">
        <f>AD18-AE18</f>
        <v>6</v>
      </c>
      <c r="AG18">
        <v>0</v>
      </c>
      <c r="AH18">
        <f>AF18-AG18</f>
        <v>6</v>
      </c>
      <c r="AI18">
        <v>0</v>
      </c>
      <c r="AJ18">
        <f>AH18-AI18</f>
        <v>6</v>
      </c>
      <c r="AK18">
        <v>0</v>
      </c>
      <c r="AL18">
        <f>AJ18-AK18</f>
        <v>6</v>
      </c>
      <c r="AM18">
        <v>0</v>
      </c>
      <c r="AN18">
        <f>AL18-AM18</f>
        <v>6</v>
      </c>
      <c r="AO18">
        <v>0</v>
      </c>
      <c r="AP18">
        <f>AN18-AO18</f>
        <v>6</v>
      </c>
      <c r="AQ18">
        <v>0</v>
      </c>
      <c r="AR18">
        <f>AP18-AQ18</f>
        <v>6</v>
      </c>
      <c r="AS18">
        <v>0</v>
      </c>
      <c r="AT18">
        <f>AR18-AS18</f>
        <v>6</v>
      </c>
      <c r="AU18">
        <v>0</v>
      </c>
      <c r="AV18">
        <f>AT18-AU18</f>
        <v>6</v>
      </c>
      <c r="AW18">
        <v>0</v>
      </c>
      <c r="AX18">
        <f>AV18-AW18</f>
        <v>6</v>
      </c>
      <c r="AY18" s="8">
        <v>0</v>
      </c>
      <c r="AZ18" s="8">
        <f>AX18-AY18</f>
        <v>6</v>
      </c>
      <c r="BB18" s="21">
        <v>4</v>
      </c>
      <c r="BC18">
        <f>$BB18*D18</f>
        <v>4</v>
      </c>
      <c r="BD18">
        <f t="shared" si="6"/>
        <v>0</v>
      </c>
      <c r="BE18">
        <f t="shared" si="6"/>
        <v>0</v>
      </c>
      <c r="BF18" s="21">
        <f>$BB18*E18</f>
        <v>0</v>
      </c>
      <c r="BG18" s="21">
        <f>$BB18*H18</f>
        <v>0</v>
      </c>
    </row>
    <row r="19" spans="1:59">
      <c r="A19" s="44"/>
      <c r="B19" s="12"/>
      <c r="C19" s="39" t="s">
        <v>19</v>
      </c>
      <c r="D19" s="14">
        <v>1</v>
      </c>
      <c r="E19" s="14">
        <v>0</v>
      </c>
      <c r="F19" s="14">
        <v>0</v>
      </c>
      <c r="G19" s="14">
        <v>0</v>
      </c>
      <c r="H19" s="14">
        <f>1-D19-E19</f>
        <v>0</v>
      </c>
      <c r="I19">
        <v>4</v>
      </c>
      <c r="J19">
        <f>I19</f>
        <v>4</v>
      </c>
      <c r="K19">
        <v>0</v>
      </c>
      <c r="L19">
        <f t="shared" si="4"/>
        <v>4</v>
      </c>
      <c r="M19">
        <v>0</v>
      </c>
      <c r="N19">
        <f>L19-M19</f>
        <v>4</v>
      </c>
      <c r="O19">
        <v>0</v>
      </c>
      <c r="P19">
        <f t="shared" ref="P19:P20" si="7">N19-O19</f>
        <v>4</v>
      </c>
      <c r="Q19">
        <v>0</v>
      </c>
      <c r="R19">
        <f>P19-Q19</f>
        <v>4</v>
      </c>
      <c r="S19">
        <v>0</v>
      </c>
      <c r="T19">
        <f t="shared" ref="T19:T20" si="8">R19-S19</f>
        <v>4</v>
      </c>
      <c r="U19">
        <v>0</v>
      </c>
      <c r="V19">
        <f t="shared" ref="V19:V20" si="9">T19-U19</f>
        <v>4</v>
      </c>
      <c r="W19">
        <v>0</v>
      </c>
      <c r="X19">
        <f t="shared" ref="X19:X20" si="10">V19-W19</f>
        <v>4</v>
      </c>
      <c r="Y19">
        <v>0</v>
      </c>
      <c r="Z19">
        <f>X19-Y19</f>
        <v>4</v>
      </c>
      <c r="AA19">
        <v>0</v>
      </c>
      <c r="AB19">
        <f>Z19-AA19</f>
        <v>4</v>
      </c>
      <c r="AC19">
        <v>0</v>
      </c>
      <c r="AD19">
        <f>AB19-AC19</f>
        <v>4</v>
      </c>
      <c r="AE19">
        <v>0</v>
      </c>
      <c r="AF19">
        <f>AD19-AE19</f>
        <v>4</v>
      </c>
      <c r="AG19">
        <v>0</v>
      </c>
      <c r="AH19">
        <f>AF19-AG19</f>
        <v>4</v>
      </c>
      <c r="AI19">
        <v>0</v>
      </c>
      <c r="AJ19">
        <f>AH19-AI19</f>
        <v>4</v>
      </c>
      <c r="AK19">
        <v>0</v>
      </c>
      <c r="AL19">
        <f>AJ19-AK19</f>
        <v>4</v>
      </c>
      <c r="AM19">
        <v>0</v>
      </c>
      <c r="AN19">
        <f>AL19-AM19</f>
        <v>4</v>
      </c>
      <c r="AO19">
        <v>0</v>
      </c>
      <c r="AP19">
        <f>AN19-AO19</f>
        <v>4</v>
      </c>
      <c r="AQ19">
        <v>0</v>
      </c>
      <c r="AR19">
        <f>AP19-AQ19</f>
        <v>4</v>
      </c>
      <c r="AS19">
        <v>0</v>
      </c>
      <c r="AT19">
        <f>AR19-AS19</f>
        <v>4</v>
      </c>
      <c r="AU19">
        <v>0</v>
      </c>
      <c r="AV19">
        <f>AT19-AU19</f>
        <v>4</v>
      </c>
      <c r="AW19">
        <v>0</v>
      </c>
      <c r="AX19">
        <f>AV19-AW19</f>
        <v>4</v>
      </c>
      <c r="AY19" s="8">
        <v>0</v>
      </c>
      <c r="AZ19" s="8">
        <f>AX19-AY19</f>
        <v>4</v>
      </c>
      <c r="BB19" s="21">
        <v>3</v>
      </c>
      <c r="BC19">
        <f>$BB19*D19</f>
        <v>3</v>
      </c>
      <c r="BD19">
        <f t="shared" si="6"/>
        <v>0</v>
      </c>
      <c r="BE19">
        <f t="shared" si="6"/>
        <v>0</v>
      </c>
      <c r="BF19" s="21">
        <f>$BB19*E19</f>
        <v>0</v>
      </c>
      <c r="BG19" s="21">
        <f>$BB19*H19</f>
        <v>0</v>
      </c>
    </row>
    <row r="20" spans="1:59">
      <c r="A20" s="44"/>
      <c r="B20" s="12"/>
      <c r="C20" s="39" t="s">
        <v>20</v>
      </c>
      <c r="D20" s="14">
        <v>1</v>
      </c>
      <c r="E20" s="14">
        <v>0</v>
      </c>
      <c r="F20" s="14">
        <v>0</v>
      </c>
      <c r="G20" s="14">
        <v>0</v>
      </c>
      <c r="H20" s="14">
        <f>1-D20-E20</f>
        <v>0</v>
      </c>
      <c r="I20">
        <v>8</v>
      </c>
      <c r="J20">
        <f>I20</f>
        <v>8</v>
      </c>
      <c r="K20">
        <v>0</v>
      </c>
      <c r="L20">
        <f t="shared" si="4"/>
        <v>8</v>
      </c>
      <c r="M20">
        <v>0</v>
      </c>
      <c r="N20">
        <f>L20-M20</f>
        <v>8</v>
      </c>
      <c r="O20">
        <v>0</v>
      </c>
      <c r="P20">
        <f t="shared" si="7"/>
        <v>8</v>
      </c>
      <c r="Q20">
        <v>0</v>
      </c>
      <c r="R20">
        <f>P20-Q20</f>
        <v>8</v>
      </c>
      <c r="S20">
        <v>0</v>
      </c>
      <c r="T20">
        <f t="shared" si="8"/>
        <v>8</v>
      </c>
      <c r="U20">
        <v>0</v>
      </c>
      <c r="V20">
        <f t="shared" si="9"/>
        <v>8</v>
      </c>
      <c r="W20">
        <v>0</v>
      </c>
      <c r="X20">
        <f t="shared" si="10"/>
        <v>8</v>
      </c>
      <c r="Y20">
        <v>0</v>
      </c>
      <c r="Z20">
        <f>X20-Y20</f>
        <v>8</v>
      </c>
      <c r="AA20">
        <v>0</v>
      </c>
      <c r="AB20">
        <f>Z20-AA20</f>
        <v>8</v>
      </c>
      <c r="AC20">
        <v>0</v>
      </c>
      <c r="AD20">
        <f>AB20-AC20</f>
        <v>8</v>
      </c>
      <c r="AE20">
        <v>0</v>
      </c>
      <c r="AF20">
        <f>AD20-AE20</f>
        <v>8</v>
      </c>
      <c r="AG20">
        <v>0</v>
      </c>
      <c r="AH20">
        <f>AF20-AG20</f>
        <v>8</v>
      </c>
      <c r="AI20">
        <v>4</v>
      </c>
      <c r="AJ20">
        <f>AH20-AI20</f>
        <v>4</v>
      </c>
      <c r="AK20">
        <v>0</v>
      </c>
      <c r="AL20">
        <f>AJ20-AK20</f>
        <v>4</v>
      </c>
      <c r="AM20">
        <v>0</v>
      </c>
      <c r="AN20">
        <f>AL20-AM20</f>
        <v>4</v>
      </c>
      <c r="AO20">
        <v>4</v>
      </c>
      <c r="AP20">
        <f>AN20-AO20</f>
        <v>0</v>
      </c>
      <c r="AQ20">
        <v>0</v>
      </c>
      <c r="AR20">
        <f>AP20-AQ20</f>
        <v>0</v>
      </c>
      <c r="AS20">
        <v>0</v>
      </c>
      <c r="AT20">
        <f>AR20-AS20</f>
        <v>0</v>
      </c>
      <c r="AU20">
        <v>0</v>
      </c>
      <c r="AV20">
        <f>AT20-AU20</f>
        <v>0</v>
      </c>
      <c r="AW20">
        <v>0</v>
      </c>
      <c r="AX20">
        <f>AV20-AW20</f>
        <v>0</v>
      </c>
      <c r="AY20" s="8">
        <v>0</v>
      </c>
      <c r="AZ20" s="8">
        <f>AX20-AY20</f>
        <v>0</v>
      </c>
      <c r="BB20" s="21">
        <f t="shared" ref="BB20" si="11">AY20+AW20+AU20+AS20+AQ20+AO20+AM20+AK20+AI20+AG20+AE20+AC20+AA20+Y20+W20+U20+S20+Q20+O20+M20+K20</f>
        <v>8</v>
      </c>
      <c r="BC20">
        <f>$BB20*D20</f>
        <v>8</v>
      </c>
      <c r="BD20">
        <f t="shared" si="6"/>
        <v>0</v>
      </c>
      <c r="BE20">
        <f t="shared" si="6"/>
        <v>0</v>
      </c>
      <c r="BF20" s="21">
        <f>$BB20*E20</f>
        <v>0</v>
      </c>
      <c r="BG20" s="21">
        <f>$BB20*H20</f>
        <v>0</v>
      </c>
    </row>
    <row r="21" spans="1:59">
      <c r="A21" s="44"/>
      <c r="B21" s="9">
        <v>3</v>
      </c>
      <c r="C21" s="38" t="s">
        <v>21</v>
      </c>
      <c r="D21" s="13"/>
      <c r="E21" s="13"/>
      <c r="F21" s="13"/>
      <c r="G21" s="13"/>
      <c r="H21" s="31">
        <v>1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8"/>
      <c r="AZ21" s="11"/>
      <c r="BB21" s="21"/>
      <c r="BF21" s="21"/>
      <c r="BG21" s="21"/>
    </row>
    <row r="22" spans="1:59">
      <c r="A22" s="44"/>
      <c r="B22" s="12"/>
      <c r="C22" s="35" t="s">
        <v>22</v>
      </c>
      <c r="D22" s="14">
        <v>0</v>
      </c>
      <c r="E22" s="14">
        <v>0</v>
      </c>
      <c r="F22" s="14">
        <v>0</v>
      </c>
      <c r="G22" s="14">
        <v>0</v>
      </c>
      <c r="H22" s="14">
        <v>1</v>
      </c>
      <c r="I22" s="28">
        <v>7</v>
      </c>
      <c r="J22">
        <f>I22</f>
        <v>7</v>
      </c>
      <c r="K22">
        <v>0</v>
      </c>
      <c r="L22">
        <f t="shared" si="4"/>
        <v>7</v>
      </c>
      <c r="M22">
        <v>0</v>
      </c>
      <c r="N22">
        <f>L22-M22</f>
        <v>7</v>
      </c>
      <c r="O22">
        <v>0</v>
      </c>
      <c r="P22">
        <f>N22-O22</f>
        <v>7</v>
      </c>
      <c r="Q22">
        <v>0</v>
      </c>
      <c r="R22">
        <f>P22-Q22</f>
        <v>7</v>
      </c>
      <c r="S22">
        <v>0</v>
      </c>
      <c r="T22">
        <f>R22-S22</f>
        <v>7</v>
      </c>
      <c r="U22">
        <v>0</v>
      </c>
      <c r="V22">
        <f>T22-U22</f>
        <v>7</v>
      </c>
      <c r="W22">
        <v>0</v>
      </c>
      <c r="X22">
        <f>V22-W22</f>
        <v>7</v>
      </c>
      <c r="Y22">
        <v>1</v>
      </c>
      <c r="Z22">
        <f>X22-Y22</f>
        <v>6</v>
      </c>
      <c r="AA22">
        <v>0</v>
      </c>
      <c r="AB22">
        <f>Z22-AA22</f>
        <v>6</v>
      </c>
      <c r="AC22">
        <v>0</v>
      </c>
      <c r="AD22">
        <f>AB22-AC22</f>
        <v>6</v>
      </c>
      <c r="AE22">
        <v>1</v>
      </c>
      <c r="AF22">
        <f>AD22-AE22</f>
        <v>5</v>
      </c>
      <c r="AG22">
        <v>3</v>
      </c>
      <c r="AH22">
        <f>AF22-AG22</f>
        <v>2</v>
      </c>
      <c r="AI22">
        <v>0</v>
      </c>
      <c r="AJ22">
        <f>AH22-AI22</f>
        <v>2</v>
      </c>
      <c r="AK22">
        <v>2</v>
      </c>
      <c r="AL22">
        <f>AJ22-AK22</f>
        <v>0</v>
      </c>
      <c r="AM22">
        <v>0</v>
      </c>
      <c r="AN22">
        <f>AL22-AM22</f>
        <v>0</v>
      </c>
      <c r="AO22">
        <v>0</v>
      </c>
      <c r="AP22">
        <v>2</v>
      </c>
      <c r="AQ22">
        <v>1</v>
      </c>
      <c r="AR22">
        <f>AP22-AQ22</f>
        <v>1</v>
      </c>
      <c r="AS22">
        <v>0</v>
      </c>
      <c r="AT22">
        <f>AR22-AS22</f>
        <v>1</v>
      </c>
      <c r="AU22">
        <v>1</v>
      </c>
      <c r="AV22">
        <f>AT22-AU22</f>
        <v>0</v>
      </c>
      <c r="AX22">
        <f>AV22-AW22</f>
        <v>0</v>
      </c>
      <c r="AY22" s="8"/>
      <c r="AZ22" s="8">
        <f>AX22-AY22</f>
        <v>0</v>
      </c>
      <c r="BB22" s="21">
        <f>AY22+AW22+AU22+AS22+AQ22+AO22+AM22+AK22+AI22+AG22+AE22+AC22+AA22+Y22+W22+U22+S22+Q22+O22+M22+K22</f>
        <v>9</v>
      </c>
      <c r="BC22">
        <f>$BB22*D22</f>
        <v>0</v>
      </c>
      <c r="BD22">
        <f>BC22*F22</f>
        <v>0</v>
      </c>
      <c r="BE22">
        <f>BD22*G22</f>
        <v>0</v>
      </c>
      <c r="BF22" s="21">
        <f>$BB22*E22</f>
        <v>0</v>
      </c>
      <c r="BG22" s="21">
        <f>$BB22*H22</f>
        <v>9</v>
      </c>
    </row>
    <row r="23" spans="1:59">
      <c r="A23" s="44"/>
      <c r="B23" s="12"/>
      <c r="C23" s="35" t="s">
        <v>23</v>
      </c>
      <c r="D23" s="14">
        <v>0</v>
      </c>
      <c r="E23" s="14">
        <v>0</v>
      </c>
      <c r="F23" s="14">
        <v>0</v>
      </c>
      <c r="G23" s="14">
        <v>0</v>
      </c>
      <c r="H23" s="14">
        <v>1</v>
      </c>
      <c r="I23" s="28">
        <v>3</v>
      </c>
      <c r="J23">
        <f>I23</f>
        <v>3</v>
      </c>
      <c r="K23">
        <v>0</v>
      </c>
      <c r="L23">
        <f>J23-K23</f>
        <v>3</v>
      </c>
      <c r="M23">
        <v>0</v>
      </c>
      <c r="N23">
        <f>L23-M23</f>
        <v>3</v>
      </c>
      <c r="O23">
        <v>0</v>
      </c>
      <c r="P23">
        <f>N23-O23</f>
        <v>3</v>
      </c>
      <c r="Q23">
        <v>0</v>
      </c>
      <c r="R23">
        <f>P23-Q23</f>
        <v>3</v>
      </c>
      <c r="S23">
        <v>0</v>
      </c>
      <c r="T23">
        <f>R23-S23</f>
        <v>3</v>
      </c>
      <c r="U23">
        <v>0</v>
      </c>
      <c r="V23">
        <f>T23-U23</f>
        <v>3</v>
      </c>
      <c r="W23">
        <v>0</v>
      </c>
      <c r="X23">
        <f>V23-W23</f>
        <v>3</v>
      </c>
      <c r="Y23">
        <v>0</v>
      </c>
      <c r="Z23">
        <f>X23-Y23</f>
        <v>3</v>
      </c>
      <c r="AA23">
        <v>0</v>
      </c>
      <c r="AB23">
        <f>Z23-AA23</f>
        <v>3</v>
      </c>
      <c r="AC23">
        <v>0</v>
      </c>
      <c r="AD23">
        <f>AB23-AC23</f>
        <v>3</v>
      </c>
      <c r="AE23">
        <v>0</v>
      </c>
      <c r="AF23">
        <f>AD23-AE23</f>
        <v>3</v>
      </c>
      <c r="AG23">
        <v>0</v>
      </c>
      <c r="AH23">
        <f>AF23-AG23</f>
        <v>3</v>
      </c>
      <c r="AI23">
        <v>1</v>
      </c>
      <c r="AJ23">
        <f>AH23-AI23</f>
        <v>2</v>
      </c>
      <c r="AK23">
        <v>0</v>
      </c>
      <c r="AL23">
        <f>AJ23-AK23</f>
        <v>2</v>
      </c>
      <c r="AM23">
        <v>0</v>
      </c>
      <c r="AN23">
        <f>AL23-AM23</f>
        <v>2</v>
      </c>
      <c r="AO23">
        <v>0</v>
      </c>
      <c r="AP23">
        <f>AN23-AO23</f>
        <v>2</v>
      </c>
      <c r="AQ23">
        <v>1</v>
      </c>
      <c r="AR23">
        <f>AP23-AQ23</f>
        <v>1</v>
      </c>
      <c r="AS23">
        <v>0</v>
      </c>
      <c r="AT23">
        <f>AR23-AS23</f>
        <v>1</v>
      </c>
      <c r="AU23">
        <v>0</v>
      </c>
      <c r="AV23">
        <v>1</v>
      </c>
      <c r="AW23">
        <v>1</v>
      </c>
      <c r="AX23">
        <f>AV23-AW23</f>
        <v>0</v>
      </c>
      <c r="AY23" s="8">
        <v>0</v>
      </c>
      <c r="AZ23" s="8">
        <v>0</v>
      </c>
      <c r="BB23" s="21">
        <f>AY23+AW23+AU23+AS23+AQ23+AO23+AM23+AK23+AI23+AG23+AE23+AC23+AA23+Y23+W23+U23+S23+Q23+O23+M23+K23</f>
        <v>3</v>
      </c>
      <c r="BC23">
        <v>0</v>
      </c>
      <c r="BD23">
        <v>0</v>
      </c>
      <c r="BE23">
        <v>0</v>
      </c>
      <c r="BF23" s="21">
        <v>0</v>
      </c>
      <c r="BG23" s="21">
        <f>$BB23*H23</f>
        <v>3</v>
      </c>
    </row>
    <row r="24" spans="1:59">
      <c r="A24" s="44"/>
      <c r="B24" s="12"/>
      <c r="C24" s="3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1</v>
      </c>
      <c r="I24" s="28">
        <v>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3</v>
      </c>
      <c r="AQ24">
        <v>1</v>
      </c>
      <c r="AR24">
        <v>2</v>
      </c>
      <c r="AS24">
        <v>0</v>
      </c>
      <c r="AT24">
        <v>2</v>
      </c>
      <c r="AU24">
        <v>0</v>
      </c>
      <c r="AV24">
        <v>2</v>
      </c>
      <c r="AW24">
        <v>2</v>
      </c>
      <c r="AX24">
        <v>0</v>
      </c>
      <c r="AY24" s="8">
        <v>0</v>
      </c>
      <c r="AZ24" s="8">
        <v>0</v>
      </c>
      <c r="BB24" s="21">
        <f>AY24+AW24+AU24+AS24+AQ24+AO24+AM24+AK24+AI24+AG24+AE24+AC24+AA24+Y24+W24+U24+S24+Q24+O24+M24+K24</f>
        <v>4</v>
      </c>
      <c r="BC24">
        <v>0</v>
      </c>
      <c r="BD24">
        <v>0</v>
      </c>
      <c r="BE24">
        <v>0</v>
      </c>
      <c r="BF24" s="21">
        <v>0</v>
      </c>
      <c r="BG24" s="21">
        <f>$BB24*H24</f>
        <v>4</v>
      </c>
    </row>
    <row r="25" spans="1:59">
      <c r="A25" s="44"/>
      <c r="B25" s="9">
        <v>4</v>
      </c>
      <c r="C25" s="38" t="s">
        <v>25</v>
      </c>
      <c r="D25" s="13"/>
      <c r="E25" s="13"/>
      <c r="F25" s="13"/>
      <c r="G25" s="13"/>
      <c r="H25" s="30">
        <v>1</v>
      </c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8"/>
      <c r="AZ25" s="11"/>
      <c r="BB25" s="21"/>
      <c r="BF25" s="21"/>
      <c r="BG25" s="21"/>
    </row>
    <row r="26" spans="1:59">
      <c r="A26" s="44"/>
      <c r="B26" s="12"/>
      <c r="C26" s="35" t="s">
        <v>26</v>
      </c>
      <c r="D26" s="14">
        <v>0</v>
      </c>
      <c r="E26" s="14">
        <v>0</v>
      </c>
      <c r="F26" s="14">
        <v>0</v>
      </c>
      <c r="G26" s="14">
        <v>0</v>
      </c>
      <c r="H26" s="14">
        <v>1</v>
      </c>
      <c r="I26">
        <v>2</v>
      </c>
      <c r="J26">
        <f>I26</f>
        <v>2</v>
      </c>
      <c r="K26">
        <v>0</v>
      </c>
      <c r="L26">
        <f t="shared" si="4"/>
        <v>2</v>
      </c>
      <c r="M26">
        <v>0</v>
      </c>
      <c r="N26">
        <f>L26-M26</f>
        <v>2</v>
      </c>
      <c r="O26">
        <v>0</v>
      </c>
      <c r="P26">
        <f t="shared" ref="P26:P61" si="12">N26-O26</f>
        <v>2</v>
      </c>
      <c r="Q26">
        <v>0</v>
      </c>
      <c r="R26">
        <f t="shared" ref="R26:R61" si="13">P26-Q26</f>
        <v>2</v>
      </c>
      <c r="S26">
        <v>0</v>
      </c>
      <c r="T26">
        <f t="shared" ref="T26:T61" si="14">R26-S26</f>
        <v>2</v>
      </c>
      <c r="U26">
        <v>0</v>
      </c>
      <c r="V26">
        <f t="shared" ref="V26:V61" si="15">T26-U26</f>
        <v>2</v>
      </c>
      <c r="W26">
        <v>0</v>
      </c>
      <c r="X26">
        <f t="shared" ref="X26:X61" si="16">V26-W26</f>
        <v>2</v>
      </c>
      <c r="Y26">
        <v>0</v>
      </c>
      <c r="Z26">
        <f t="shared" ref="Z26:Z61" si="17">X26-Y26</f>
        <v>2</v>
      </c>
      <c r="AA26">
        <v>0</v>
      </c>
      <c r="AB26">
        <f t="shared" ref="AB26:AB61" si="18">Z26-AA26</f>
        <v>2</v>
      </c>
      <c r="AC26">
        <v>0</v>
      </c>
      <c r="AD26">
        <f t="shared" ref="AD26:AD61" si="19">AB26-AC26</f>
        <v>2</v>
      </c>
      <c r="AE26">
        <v>0</v>
      </c>
      <c r="AF26">
        <f t="shared" ref="AF26:AF61" si="20">AD26-AE26</f>
        <v>2</v>
      </c>
      <c r="AG26">
        <v>0</v>
      </c>
      <c r="AH26">
        <f t="shared" ref="AH26:AH61" si="21">AF26-AG26</f>
        <v>2</v>
      </c>
      <c r="AI26">
        <v>0</v>
      </c>
      <c r="AJ26">
        <f t="shared" ref="AJ26:AJ61" si="22">AH26-AI26</f>
        <v>2</v>
      </c>
      <c r="AK26">
        <v>0</v>
      </c>
      <c r="AL26">
        <f t="shared" ref="AL26:AL61" si="23">AJ26-AK26</f>
        <v>2</v>
      </c>
      <c r="AM26">
        <v>2</v>
      </c>
      <c r="AN26">
        <f t="shared" ref="AN26:AN61" si="24">AL26-AM26</f>
        <v>0</v>
      </c>
      <c r="AO26">
        <v>0</v>
      </c>
      <c r="AP26">
        <f t="shared" ref="AP26:AP61" si="25">AN26-AO26</f>
        <v>0</v>
      </c>
      <c r="AQ26">
        <v>0</v>
      </c>
      <c r="AR26">
        <f t="shared" ref="AR26:AR61" si="26">AP26-AQ26</f>
        <v>0</v>
      </c>
      <c r="AS26">
        <v>0</v>
      </c>
      <c r="AT26">
        <f t="shared" ref="AT26:AT61" si="27">AR26-AS26</f>
        <v>0</v>
      </c>
      <c r="AU26">
        <v>0</v>
      </c>
      <c r="AV26">
        <v>2</v>
      </c>
      <c r="AW26">
        <v>2</v>
      </c>
      <c r="AX26">
        <f t="shared" ref="AX26:AX61" si="28">AV26-AW26</f>
        <v>0</v>
      </c>
      <c r="AY26" s="8"/>
      <c r="AZ26" s="8">
        <f t="shared" ref="AZ26:AZ61" si="29">AX26-AY26</f>
        <v>0</v>
      </c>
      <c r="BB26" s="21">
        <f t="shared" ref="BB26:BB61" si="30">AY26+AW26+AU26+AS26+AQ26+AO26+AM26+AK26+AI26+AG26+AE26+AC26+AA26+Y26+W26+U26+S26+Q26+O26+M26+K26</f>
        <v>4</v>
      </c>
      <c r="BC26">
        <f t="shared" ref="BC26" si="31">$BB26*D26</f>
        <v>0</v>
      </c>
      <c r="BD26">
        <f t="shared" ref="BD26:BE29" si="32">BC26*F26</f>
        <v>0</v>
      </c>
      <c r="BE26">
        <f t="shared" si="32"/>
        <v>0</v>
      </c>
      <c r="BF26" s="21">
        <f t="shared" ref="BF26" si="33">$BB26*E26</f>
        <v>0</v>
      </c>
      <c r="BG26" s="21">
        <f>$BB26*H26</f>
        <v>4</v>
      </c>
    </row>
    <row r="27" spans="1:59">
      <c r="A27" s="44"/>
      <c r="B27" s="9">
        <v>5</v>
      </c>
      <c r="C27" s="38" t="s">
        <v>27</v>
      </c>
      <c r="D27" s="13"/>
      <c r="E27" s="13"/>
      <c r="F27" s="13"/>
      <c r="G27" s="13"/>
      <c r="H27" s="30">
        <v>1</v>
      </c>
      <c r="I27" s="11"/>
      <c r="J27" s="11"/>
      <c r="K27" s="11"/>
      <c r="L27" s="11"/>
      <c r="M27" s="11"/>
      <c r="N27" s="11"/>
      <c r="O27" s="11"/>
      <c r="P27" s="13"/>
      <c r="Q27" s="13"/>
      <c r="R27" s="11"/>
      <c r="S27" s="11"/>
      <c r="T27" s="11"/>
      <c r="U27" s="11"/>
      <c r="V27" s="11"/>
      <c r="W27" s="11"/>
      <c r="X27" s="11"/>
      <c r="Y27" s="13"/>
      <c r="Z27" s="13"/>
      <c r="AA27" s="11"/>
      <c r="AB27" s="11"/>
      <c r="AC27" s="11"/>
      <c r="AD27" s="11"/>
      <c r="AE27" s="11"/>
      <c r="AF27" s="11"/>
      <c r="AG27" s="11"/>
      <c r="AH27" s="13"/>
      <c r="AI27" s="13"/>
      <c r="AJ27" s="11"/>
      <c r="AK27" s="11"/>
      <c r="AL27" s="11"/>
      <c r="AM27" s="11"/>
      <c r="AN27" s="11"/>
      <c r="AO27" s="11"/>
      <c r="AP27" s="11"/>
      <c r="AQ27" s="13"/>
      <c r="AR27" s="13"/>
      <c r="AS27" s="11"/>
      <c r="AT27" s="11"/>
      <c r="AU27" s="11"/>
      <c r="AV27" s="11"/>
      <c r="AW27" s="11"/>
      <c r="AX27" s="11"/>
      <c r="AY27" s="8"/>
      <c r="AZ27" s="11"/>
      <c r="BB27" s="21"/>
      <c r="BD27">
        <f t="shared" si="32"/>
        <v>0</v>
      </c>
      <c r="BE27">
        <f t="shared" si="32"/>
        <v>0</v>
      </c>
      <c r="BF27" s="21"/>
      <c r="BG27" s="21"/>
    </row>
    <row r="28" spans="1:59">
      <c r="A28" s="44"/>
      <c r="B28" s="12"/>
      <c r="C28" s="35" t="s">
        <v>28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>
        <v>3</v>
      </c>
      <c r="J28">
        <f>I28</f>
        <v>3</v>
      </c>
      <c r="K28">
        <v>0</v>
      </c>
      <c r="L28">
        <f t="shared" si="4"/>
        <v>3</v>
      </c>
      <c r="M28">
        <v>0</v>
      </c>
      <c r="N28">
        <f>L28-M28</f>
        <v>3</v>
      </c>
      <c r="O28">
        <v>0</v>
      </c>
      <c r="P28">
        <f t="shared" si="12"/>
        <v>3</v>
      </c>
      <c r="Q28">
        <v>0</v>
      </c>
      <c r="R28">
        <f t="shared" si="13"/>
        <v>3</v>
      </c>
      <c r="S28">
        <v>0</v>
      </c>
      <c r="T28">
        <f t="shared" si="14"/>
        <v>3</v>
      </c>
      <c r="U28">
        <v>0</v>
      </c>
      <c r="V28">
        <f t="shared" si="15"/>
        <v>3</v>
      </c>
      <c r="W28">
        <v>0</v>
      </c>
      <c r="X28">
        <f t="shared" si="16"/>
        <v>3</v>
      </c>
      <c r="Y28">
        <v>0</v>
      </c>
      <c r="Z28">
        <f t="shared" si="17"/>
        <v>3</v>
      </c>
      <c r="AA28">
        <v>0</v>
      </c>
      <c r="AB28">
        <f t="shared" si="18"/>
        <v>3</v>
      </c>
      <c r="AC28">
        <v>0</v>
      </c>
      <c r="AD28">
        <f t="shared" si="19"/>
        <v>3</v>
      </c>
      <c r="AE28">
        <v>0</v>
      </c>
      <c r="AF28">
        <f t="shared" si="20"/>
        <v>3</v>
      </c>
      <c r="AG28">
        <v>0</v>
      </c>
      <c r="AH28">
        <f t="shared" si="21"/>
        <v>3</v>
      </c>
      <c r="AI28">
        <v>0</v>
      </c>
      <c r="AJ28">
        <f t="shared" si="22"/>
        <v>3</v>
      </c>
      <c r="AK28">
        <v>0</v>
      </c>
      <c r="AL28">
        <f t="shared" si="23"/>
        <v>3</v>
      </c>
      <c r="AM28">
        <v>0</v>
      </c>
      <c r="AN28">
        <f t="shared" si="24"/>
        <v>3</v>
      </c>
      <c r="AO28">
        <v>0</v>
      </c>
      <c r="AP28">
        <f t="shared" si="25"/>
        <v>3</v>
      </c>
      <c r="AQ28">
        <v>0</v>
      </c>
      <c r="AR28">
        <f t="shared" si="26"/>
        <v>3</v>
      </c>
      <c r="AS28">
        <v>2</v>
      </c>
      <c r="AT28">
        <v>0</v>
      </c>
      <c r="AV28">
        <f t="shared" ref="AV28:AV61" si="34">AT28-AU28</f>
        <v>0</v>
      </c>
      <c r="AX28">
        <f t="shared" si="28"/>
        <v>0</v>
      </c>
      <c r="AY28" s="8"/>
      <c r="AZ28" s="8">
        <f t="shared" si="29"/>
        <v>0</v>
      </c>
      <c r="BB28" s="21">
        <f t="shared" si="30"/>
        <v>2</v>
      </c>
      <c r="BC28">
        <f t="shared" ref="BC28:BC61" si="35">$BB28*D28</f>
        <v>0</v>
      </c>
      <c r="BD28">
        <f t="shared" si="32"/>
        <v>0</v>
      </c>
      <c r="BE28">
        <f t="shared" si="32"/>
        <v>0</v>
      </c>
      <c r="BF28" s="21">
        <f t="shared" ref="BF28:BF61" si="36">$BB28*E28</f>
        <v>0</v>
      </c>
      <c r="BG28" s="21">
        <f>$BB28*H28</f>
        <v>2</v>
      </c>
    </row>
    <row r="29" spans="1:59">
      <c r="A29" s="44"/>
      <c r="B29" s="12"/>
      <c r="C29" s="35" t="s">
        <v>29</v>
      </c>
      <c r="D29" s="14">
        <v>0</v>
      </c>
      <c r="E29" s="14">
        <v>0</v>
      </c>
      <c r="F29" s="14">
        <v>0</v>
      </c>
      <c r="G29" s="14">
        <v>0</v>
      </c>
      <c r="H29" s="14">
        <v>1</v>
      </c>
      <c r="I29">
        <v>3</v>
      </c>
      <c r="J29">
        <f t="shared" ref="J29:J53" si="37">I29</f>
        <v>3</v>
      </c>
      <c r="K29">
        <v>0</v>
      </c>
      <c r="L29">
        <f t="shared" si="4"/>
        <v>3</v>
      </c>
      <c r="M29">
        <v>0</v>
      </c>
      <c r="N29">
        <f>L29-M29</f>
        <v>3</v>
      </c>
      <c r="O29">
        <v>0</v>
      </c>
      <c r="P29">
        <f t="shared" si="12"/>
        <v>3</v>
      </c>
      <c r="Q29">
        <v>0</v>
      </c>
      <c r="R29">
        <f t="shared" si="13"/>
        <v>3</v>
      </c>
      <c r="S29">
        <v>0</v>
      </c>
      <c r="T29">
        <f t="shared" si="14"/>
        <v>3</v>
      </c>
      <c r="U29">
        <v>0</v>
      </c>
      <c r="V29">
        <f t="shared" si="15"/>
        <v>3</v>
      </c>
      <c r="W29">
        <v>0</v>
      </c>
      <c r="X29">
        <f t="shared" si="16"/>
        <v>3</v>
      </c>
      <c r="Y29">
        <v>0</v>
      </c>
      <c r="Z29">
        <f t="shared" si="17"/>
        <v>3</v>
      </c>
      <c r="AA29">
        <v>0</v>
      </c>
      <c r="AB29">
        <f t="shared" si="18"/>
        <v>3</v>
      </c>
      <c r="AC29">
        <v>0</v>
      </c>
      <c r="AD29">
        <f t="shared" si="19"/>
        <v>3</v>
      </c>
      <c r="AE29">
        <v>0</v>
      </c>
      <c r="AF29">
        <f t="shared" si="20"/>
        <v>3</v>
      </c>
      <c r="AG29">
        <v>0</v>
      </c>
      <c r="AH29">
        <f t="shared" si="21"/>
        <v>3</v>
      </c>
      <c r="AI29">
        <v>0</v>
      </c>
      <c r="AJ29">
        <f t="shared" si="22"/>
        <v>3</v>
      </c>
      <c r="AK29">
        <v>0</v>
      </c>
      <c r="AL29">
        <f t="shared" si="23"/>
        <v>3</v>
      </c>
      <c r="AM29">
        <v>0</v>
      </c>
      <c r="AN29">
        <f t="shared" si="24"/>
        <v>3</v>
      </c>
      <c r="AO29">
        <v>0</v>
      </c>
      <c r="AP29">
        <f t="shared" si="25"/>
        <v>3</v>
      </c>
      <c r="AQ29">
        <v>0</v>
      </c>
      <c r="AR29">
        <f t="shared" si="26"/>
        <v>3</v>
      </c>
      <c r="AS29">
        <v>0</v>
      </c>
      <c r="AT29">
        <f t="shared" si="27"/>
        <v>3</v>
      </c>
      <c r="AU29">
        <v>2</v>
      </c>
      <c r="AV29">
        <v>0</v>
      </c>
      <c r="AX29">
        <f t="shared" si="28"/>
        <v>0</v>
      </c>
      <c r="AY29" s="8"/>
      <c r="AZ29" s="8">
        <f t="shared" si="29"/>
        <v>0</v>
      </c>
      <c r="BB29" s="21">
        <f t="shared" si="30"/>
        <v>2</v>
      </c>
      <c r="BC29">
        <f t="shared" si="35"/>
        <v>0</v>
      </c>
      <c r="BD29">
        <f t="shared" si="32"/>
        <v>0</v>
      </c>
      <c r="BE29">
        <f t="shared" si="32"/>
        <v>0</v>
      </c>
      <c r="BF29" s="21">
        <f t="shared" si="36"/>
        <v>0</v>
      </c>
      <c r="BG29" s="21">
        <f t="shared" ref="BG29:BG61" si="38">$BB29*H29</f>
        <v>2</v>
      </c>
    </row>
    <row r="30" spans="1:59">
      <c r="A30" s="44"/>
      <c r="B30" s="9">
        <v>6</v>
      </c>
      <c r="C30" s="40" t="s">
        <v>30</v>
      </c>
      <c r="D30" s="32"/>
      <c r="E30" s="32"/>
      <c r="F30" s="32"/>
      <c r="G30" s="33">
        <v>1</v>
      </c>
      <c r="H30" s="32"/>
      <c r="I30" s="34"/>
      <c r="J30" s="34"/>
      <c r="K30" s="34"/>
      <c r="L30" s="34"/>
      <c r="M30" s="34"/>
      <c r="N30" s="34"/>
      <c r="O30" s="34"/>
      <c r="P30" s="32"/>
      <c r="Q30" s="32"/>
      <c r="R30" s="34"/>
      <c r="S30" s="34"/>
      <c r="T30" s="34"/>
      <c r="U30" s="34"/>
      <c r="V30" s="34"/>
      <c r="W30" s="34"/>
      <c r="X30" s="34"/>
      <c r="Y30" s="32"/>
      <c r="Z30" s="32"/>
      <c r="AA30" s="34"/>
      <c r="AB30" s="34"/>
      <c r="AC30" s="34"/>
      <c r="AD30" s="34"/>
      <c r="AE30" s="34"/>
      <c r="AF30" s="34"/>
      <c r="AG30" s="34"/>
      <c r="AH30" s="32"/>
      <c r="AI30" s="32"/>
      <c r="AJ30" s="34"/>
      <c r="AK30" s="34"/>
      <c r="AL30" s="34"/>
      <c r="AM30" s="34"/>
      <c r="AN30" s="34"/>
      <c r="AO30" s="34"/>
      <c r="AP30" s="34"/>
      <c r="AQ30" s="32"/>
      <c r="AR30" s="32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</row>
    <row r="31" spans="1:59">
      <c r="A31" s="44"/>
      <c r="B31" s="12"/>
      <c r="C31" s="35" t="s">
        <v>31</v>
      </c>
      <c r="D31" s="14">
        <v>0</v>
      </c>
      <c r="E31" s="14">
        <v>0</v>
      </c>
      <c r="F31" s="14">
        <v>0</v>
      </c>
      <c r="G31" s="14">
        <v>1</v>
      </c>
      <c r="H31" s="14">
        <v>0</v>
      </c>
      <c r="I31" s="28">
        <v>5</v>
      </c>
      <c r="J31">
        <f>I31</f>
        <v>5</v>
      </c>
      <c r="K31">
        <v>0</v>
      </c>
      <c r="L31">
        <f t="shared" si="4"/>
        <v>5</v>
      </c>
      <c r="M31">
        <v>0</v>
      </c>
      <c r="N31">
        <f>L31-M31</f>
        <v>5</v>
      </c>
      <c r="O31">
        <v>0</v>
      </c>
      <c r="P31">
        <f t="shared" si="12"/>
        <v>5</v>
      </c>
      <c r="Q31">
        <v>0</v>
      </c>
      <c r="R31">
        <f t="shared" si="13"/>
        <v>5</v>
      </c>
      <c r="S31">
        <v>4</v>
      </c>
      <c r="T31">
        <v>0</v>
      </c>
      <c r="U31">
        <v>0</v>
      </c>
      <c r="V31">
        <f t="shared" si="15"/>
        <v>0</v>
      </c>
      <c r="W31">
        <v>0</v>
      </c>
      <c r="X31">
        <f t="shared" si="16"/>
        <v>0</v>
      </c>
      <c r="Y31">
        <v>1</v>
      </c>
      <c r="Z31">
        <v>0</v>
      </c>
      <c r="AA31">
        <v>0</v>
      </c>
      <c r="AB31">
        <v>0</v>
      </c>
      <c r="AC31">
        <v>0</v>
      </c>
      <c r="AD31">
        <f t="shared" si="19"/>
        <v>0</v>
      </c>
      <c r="AE31">
        <v>0</v>
      </c>
      <c r="AF31">
        <f t="shared" si="20"/>
        <v>0</v>
      </c>
      <c r="AG31">
        <v>0</v>
      </c>
      <c r="AH31">
        <f t="shared" si="21"/>
        <v>0</v>
      </c>
      <c r="AI31">
        <v>0</v>
      </c>
      <c r="AJ31">
        <f t="shared" si="22"/>
        <v>0</v>
      </c>
      <c r="AK31">
        <v>0</v>
      </c>
      <c r="AL31">
        <f t="shared" si="23"/>
        <v>0</v>
      </c>
      <c r="AM31">
        <v>0</v>
      </c>
      <c r="AN31">
        <f t="shared" si="24"/>
        <v>0</v>
      </c>
      <c r="AO31">
        <v>0</v>
      </c>
      <c r="AP31">
        <f t="shared" si="25"/>
        <v>0</v>
      </c>
      <c r="AQ31">
        <v>0</v>
      </c>
      <c r="AR31">
        <f t="shared" si="26"/>
        <v>0</v>
      </c>
      <c r="AS31">
        <v>0</v>
      </c>
      <c r="AT31">
        <f t="shared" si="27"/>
        <v>0</v>
      </c>
      <c r="AU31">
        <v>0</v>
      </c>
      <c r="AV31">
        <f>AT31-AU31</f>
        <v>0</v>
      </c>
      <c r="AW31">
        <v>0</v>
      </c>
      <c r="AX31">
        <f t="shared" si="28"/>
        <v>0</v>
      </c>
      <c r="AY31" s="8">
        <v>0</v>
      </c>
      <c r="AZ31" s="8">
        <f t="shared" si="29"/>
        <v>0</v>
      </c>
      <c r="BB31" s="21">
        <f>AY31+AW31+AU31+AS31+AQ31+AO31+AM31+AK31+AI31+AG31+AE31+AC31+AA31+Y31+W31+U31+S31+Q31+O31+M31+K31</f>
        <v>5</v>
      </c>
      <c r="BC31">
        <f t="shared" si="35"/>
        <v>0</v>
      </c>
      <c r="BD31">
        <f>BC31*F31</f>
        <v>0</v>
      </c>
      <c r="BE31">
        <f>$BB31*G31</f>
        <v>5</v>
      </c>
      <c r="BF31" s="21">
        <f t="shared" si="36"/>
        <v>0</v>
      </c>
      <c r="BG31" s="21">
        <f t="shared" si="38"/>
        <v>0</v>
      </c>
    </row>
    <row r="32" spans="1:59">
      <c r="A32" s="44"/>
      <c r="B32" s="12"/>
      <c r="C32" s="35" t="s">
        <v>32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28">
        <v>3</v>
      </c>
      <c r="J32">
        <v>3</v>
      </c>
      <c r="K32">
        <v>0</v>
      </c>
      <c r="L32">
        <v>3</v>
      </c>
      <c r="M32">
        <v>0</v>
      </c>
      <c r="N32">
        <v>3</v>
      </c>
      <c r="O32">
        <v>0</v>
      </c>
      <c r="P32">
        <v>3</v>
      </c>
      <c r="Q32">
        <v>0</v>
      </c>
      <c r="R32">
        <v>3</v>
      </c>
      <c r="S32">
        <v>2</v>
      </c>
      <c r="T32">
        <v>1</v>
      </c>
      <c r="U32">
        <v>4</v>
      </c>
      <c r="V32">
        <v>0</v>
      </c>
      <c r="W32">
        <v>0</v>
      </c>
      <c r="X32">
        <v>0</v>
      </c>
      <c r="Y32">
        <v>0</v>
      </c>
      <c r="Z32">
        <f>X32-Y32</f>
        <v>0</v>
      </c>
      <c r="AA32">
        <v>0</v>
      </c>
      <c r="AB32">
        <f>Z32-AA32</f>
        <v>0</v>
      </c>
      <c r="AC32">
        <v>0</v>
      </c>
      <c r="AD32">
        <f t="shared" si="19"/>
        <v>0</v>
      </c>
      <c r="AE32">
        <v>0</v>
      </c>
      <c r="AF32">
        <f>AD32-AE32</f>
        <v>0</v>
      </c>
      <c r="AG32">
        <v>0</v>
      </c>
      <c r="AH32">
        <f>AF32-AG32</f>
        <v>0</v>
      </c>
      <c r="AI32">
        <v>0</v>
      </c>
      <c r="AJ32">
        <f>AH32-AI32</f>
        <v>0</v>
      </c>
      <c r="AK32">
        <v>0</v>
      </c>
      <c r="AL32">
        <f>AJ32-AK32</f>
        <v>0</v>
      </c>
      <c r="AM32">
        <v>0</v>
      </c>
      <c r="AN32">
        <f>AL32-AM32</f>
        <v>0</v>
      </c>
      <c r="AO32">
        <v>0</v>
      </c>
      <c r="AP32">
        <f>AN32-AO32</f>
        <v>0</v>
      </c>
      <c r="AQ32">
        <v>0</v>
      </c>
      <c r="AR32">
        <f>AP32-AQ32</f>
        <v>0</v>
      </c>
      <c r="AS32">
        <v>0</v>
      </c>
      <c r="AT32">
        <f>AR32-AS32</f>
        <v>0</v>
      </c>
      <c r="AU32">
        <v>0</v>
      </c>
      <c r="AV32">
        <f>AT32-AU32</f>
        <v>0</v>
      </c>
      <c r="AW32">
        <v>0</v>
      </c>
      <c r="AX32">
        <f>AV32-AW32</f>
        <v>0</v>
      </c>
      <c r="AY32" s="8">
        <v>0</v>
      </c>
      <c r="AZ32" s="8">
        <f>AX32-AY32</f>
        <v>0</v>
      </c>
      <c r="BB32" s="21">
        <f>AY32+AW32+AU32+AS32+AQ32+AO32+AM32+AK32+AI32+AG32+AE32+AC32+AA32+Y32+W32+U32+S32+Q32+O32+M32+K32</f>
        <v>6</v>
      </c>
      <c r="BC32">
        <v>0</v>
      </c>
      <c r="BD32">
        <f>BC32*F32</f>
        <v>0</v>
      </c>
      <c r="BE32">
        <f>$BB32*G32</f>
        <v>6</v>
      </c>
      <c r="BF32" s="21">
        <v>0</v>
      </c>
      <c r="BG32" s="21">
        <v>0</v>
      </c>
    </row>
    <row r="33" spans="1:59">
      <c r="A33" s="44"/>
      <c r="B33" s="12"/>
      <c r="C33" s="35" t="s">
        <v>33</v>
      </c>
      <c r="D33" s="14">
        <v>0</v>
      </c>
      <c r="E33" s="14">
        <v>0</v>
      </c>
      <c r="F33" s="14">
        <v>0</v>
      </c>
      <c r="G33" s="14">
        <v>1</v>
      </c>
      <c r="H33" s="14">
        <v>0</v>
      </c>
      <c r="I33" s="28">
        <v>5</v>
      </c>
      <c r="J33">
        <f t="shared" si="37"/>
        <v>5</v>
      </c>
      <c r="K33">
        <v>0</v>
      </c>
      <c r="L33">
        <f t="shared" si="4"/>
        <v>5</v>
      </c>
      <c r="M33">
        <v>0</v>
      </c>
      <c r="N33">
        <f>L33-M33</f>
        <v>5</v>
      </c>
      <c r="O33">
        <v>0</v>
      </c>
      <c r="P33">
        <f t="shared" si="12"/>
        <v>5</v>
      </c>
      <c r="Q33">
        <v>0</v>
      </c>
      <c r="R33">
        <f t="shared" si="13"/>
        <v>5</v>
      </c>
      <c r="S33">
        <v>2</v>
      </c>
      <c r="T33">
        <f t="shared" si="14"/>
        <v>3</v>
      </c>
      <c r="U33">
        <v>0</v>
      </c>
      <c r="V33">
        <f t="shared" si="15"/>
        <v>3</v>
      </c>
      <c r="W33">
        <v>2</v>
      </c>
      <c r="X33">
        <v>3</v>
      </c>
      <c r="Y33">
        <v>2</v>
      </c>
      <c r="Z33">
        <f t="shared" si="17"/>
        <v>1</v>
      </c>
      <c r="AA33">
        <v>1</v>
      </c>
      <c r="AB33">
        <f>Z33-AA33</f>
        <v>0</v>
      </c>
      <c r="AC33">
        <v>0</v>
      </c>
      <c r="AD33">
        <v>0</v>
      </c>
      <c r="AE33">
        <v>0</v>
      </c>
      <c r="AF33">
        <f t="shared" si="20"/>
        <v>0</v>
      </c>
      <c r="AG33">
        <v>0</v>
      </c>
      <c r="AH33">
        <v>0</v>
      </c>
      <c r="AI33">
        <v>0</v>
      </c>
      <c r="AJ33">
        <f>AH33-AI33</f>
        <v>0</v>
      </c>
      <c r="AK33">
        <v>0</v>
      </c>
      <c r="AL33">
        <f>AJ33-AK33</f>
        <v>0</v>
      </c>
      <c r="AM33">
        <v>0</v>
      </c>
      <c r="AN33">
        <v>0</v>
      </c>
      <c r="AO33">
        <v>0</v>
      </c>
      <c r="AP33">
        <f t="shared" si="25"/>
        <v>0</v>
      </c>
      <c r="AQ33">
        <v>0</v>
      </c>
      <c r="AR33">
        <v>0</v>
      </c>
      <c r="AS33">
        <v>0</v>
      </c>
      <c r="AT33">
        <f>AR33-AS33</f>
        <v>0</v>
      </c>
      <c r="AU33">
        <v>0</v>
      </c>
      <c r="AV33">
        <f t="shared" si="34"/>
        <v>0</v>
      </c>
      <c r="AW33">
        <v>0</v>
      </c>
      <c r="AX33">
        <f>AV33-AW33</f>
        <v>0</v>
      </c>
      <c r="AY33" s="8">
        <v>0</v>
      </c>
      <c r="AZ33" s="8">
        <f t="shared" si="29"/>
        <v>0</v>
      </c>
      <c r="BB33" s="21">
        <f>AY33+AW33+AU33+AS33+AQ33+AO33+AM33+AK33+AI33+AG33+AE33+AC33+AA33+Y33+W33+U33+S33+Q33+O33+M33+K33</f>
        <v>7</v>
      </c>
      <c r="BC33">
        <f t="shared" si="35"/>
        <v>0</v>
      </c>
      <c r="BD33">
        <f>BC33*F33</f>
        <v>0</v>
      </c>
      <c r="BE33">
        <f>$BB33*G33</f>
        <v>7</v>
      </c>
      <c r="BF33" s="21">
        <f t="shared" si="36"/>
        <v>0</v>
      </c>
      <c r="BG33" s="21">
        <f t="shared" si="38"/>
        <v>0</v>
      </c>
    </row>
    <row r="34" spans="1:59">
      <c r="A34" s="44"/>
      <c r="B34" s="12"/>
      <c r="C34" s="35" t="s">
        <v>34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28">
        <v>8</v>
      </c>
      <c r="J34">
        <f t="shared" si="37"/>
        <v>8</v>
      </c>
      <c r="K34">
        <v>0</v>
      </c>
      <c r="L34">
        <f t="shared" si="4"/>
        <v>8</v>
      </c>
      <c r="M34">
        <v>0</v>
      </c>
      <c r="N34">
        <f>L34-M34</f>
        <v>8</v>
      </c>
      <c r="O34">
        <v>0</v>
      </c>
      <c r="P34">
        <f>N34-O34</f>
        <v>8</v>
      </c>
      <c r="Q34">
        <v>0</v>
      </c>
      <c r="R34">
        <f t="shared" si="13"/>
        <v>8</v>
      </c>
      <c r="S34">
        <v>2</v>
      </c>
      <c r="T34">
        <f t="shared" si="14"/>
        <v>6</v>
      </c>
      <c r="U34">
        <v>0</v>
      </c>
      <c r="V34">
        <f t="shared" si="15"/>
        <v>6</v>
      </c>
      <c r="W34">
        <v>3</v>
      </c>
      <c r="X34">
        <f t="shared" si="16"/>
        <v>3</v>
      </c>
      <c r="Y34">
        <v>2</v>
      </c>
      <c r="Z34">
        <v>3</v>
      </c>
      <c r="AA34">
        <v>1</v>
      </c>
      <c r="AB34">
        <f t="shared" si="18"/>
        <v>2</v>
      </c>
      <c r="AC34">
        <v>1</v>
      </c>
      <c r="AD34">
        <f t="shared" si="19"/>
        <v>1</v>
      </c>
      <c r="AE34">
        <v>1</v>
      </c>
      <c r="AF34">
        <f t="shared" si="20"/>
        <v>0</v>
      </c>
      <c r="AG34">
        <v>0</v>
      </c>
      <c r="AH34">
        <f t="shared" si="21"/>
        <v>0</v>
      </c>
      <c r="AI34">
        <v>0</v>
      </c>
      <c r="AJ34">
        <f>AH34-AI34</f>
        <v>0</v>
      </c>
      <c r="AK34">
        <v>0</v>
      </c>
      <c r="AL34">
        <f>AJ34-AK34</f>
        <v>0</v>
      </c>
      <c r="AM34">
        <v>0</v>
      </c>
      <c r="AN34">
        <f t="shared" si="24"/>
        <v>0</v>
      </c>
      <c r="AO34">
        <v>0</v>
      </c>
      <c r="AP34">
        <f t="shared" si="25"/>
        <v>0</v>
      </c>
      <c r="AQ34">
        <v>0</v>
      </c>
      <c r="AR34">
        <f t="shared" si="26"/>
        <v>0</v>
      </c>
      <c r="AS34">
        <v>0</v>
      </c>
      <c r="AT34">
        <f t="shared" si="27"/>
        <v>0</v>
      </c>
      <c r="AU34">
        <v>0</v>
      </c>
      <c r="AV34">
        <f t="shared" si="34"/>
        <v>0</v>
      </c>
      <c r="AW34">
        <v>0</v>
      </c>
      <c r="AX34">
        <f>AV34-AW34</f>
        <v>0</v>
      </c>
      <c r="AY34" s="8">
        <v>0</v>
      </c>
      <c r="AZ34" s="8">
        <f t="shared" si="29"/>
        <v>0</v>
      </c>
      <c r="BB34" s="21">
        <f>AY34+AW34+AU34+AS34+AQ34+AO34+AM34+AK34+AI34+AG34+AE34+AC34+AA34+Y34+W34+U34+S34+Q34+O34+M34+K34</f>
        <v>10</v>
      </c>
      <c r="BC34">
        <f t="shared" si="35"/>
        <v>0</v>
      </c>
      <c r="BD34">
        <f>BC34*F34</f>
        <v>0</v>
      </c>
      <c r="BE34">
        <f>$BB34*G34</f>
        <v>10</v>
      </c>
      <c r="BF34" s="21">
        <f t="shared" si="36"/>
        <v>0</v>
      </c>
      <c r="BG34" s="21">
        <f t="shared" si="38"/>
        <v>0</v>
      </c>
    </row>
    <row r="35" spans="1:59">
      <c r="A35" s="44"/>
      <c r="B35" s="9">
        <v>7</v>
      </c>
      <c r="C35" s="38" t="s">
        <v>35</v>
      </c>
      <c r="D35" s="13"/>
      <c r="E35" s="13"/>
      <c r="F35" s="13"/>
      <c r="G35" s="30">
        <v>1</v>
      </c>
      <c r="H35" s="13"/>
      <c r="I35" s="11"/>
      <c r="J35" s="11"/>
      <c r="K35" s="11"/>
      <c r="L35" s="11"/>
      <c r="M35" s="11"/>
      <c r="N35" s="11"/>
      <c r="O35" s="11"/>
      <c r="P35" s="13"/>
      <c r="Q35" s="13"/>
      <c r="R35" s="11"/>
      <c r="S35" s="11"/>
      <c r="T35" s="11"/>
      <c r="U35" s="11"/>
      <c r="V35" s="11"/>
      <c r="W35" s="11"/>
      <c r="X35" s="11"/>
      <c r="Y35" s="13"/>
      <c r="Z35" s="13"/>
      <c r="AA35" s="11"/>
      <c r="AB35" s="11"/>
      <c r="AC35" s="11"/>
      <c r="AD35" s="11"/>
      <c r="AE35" s="11"/>
      <c r="AF35" s="11"/>
      <c r="AG35" s="11"/>
      <c r="AH35" s="13"/>
      <c r="AI35" s="13"/>
      <c r="AJ35" s="11"/>
      <c r="AK35" s="11"/>
      <c r="AL35" s="11"/>
      <c r="AM35" s="11"/>
      <c r="AN35" s="11"/>
      <c r="AO35" s="11"/>
      <c r="AP35" s="11"/>
      <c r="AQ35" s="13"/>
      <c r="AR35" s="13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</row>
    <row r="36" spans="1:59">
      <c r="A36" s="44"/>
      <c r="B36" s="12"/>
      <c r="C36" s="35" t="s">
        <v>36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27">
        <v>6</v>
      </c>
      <c r="J36">
        <f t="shared" si="37"/>
        <v>6</v>
      </c>
      <c r="K36">
        <v>0</v>
      </c>
      <c r="L36">
        <f t="shared" si="4"/>
        <v>6</v>
      </c>
      <c r="M36">
        <v>0</v>
      </c>
      <c r="N36">
        <f>L36-M36</f>
        <v>6</v>
      </c>
      <c r="O36">
        <v>0</v>
      </c>
      <c r="P36">
        <f t="shared" si="12"/>
        <v>6</v>
      </c>
      <c r="Q36">
        <v>0</v>
      </c>
      <c r="R36">
        <f t="shared" si="13"/>
        <v>6</v>
      </c>
      <c r="S36">
        <v>0</v>
      </c>
      <c r="T36">
        <f t="shared" si="14"/>
        <v>6</v>
      </c>
      <c r="U36">
        <v>0</v>
      </c>
      <c r="V36">
        <f t="shared" si="15"/>
        <v>6</v>
      </c>
      <c r="W36">
        <v>0</v>
      </c>
      <c r="X36">
        <f t="shared" si="16"/>
        <v>6</v>
      </c>
      <c r="Y36">
        <v>0</v>
      </c>
      <c r="Z36">
        <f t="shared" si="17"/>
        <v>6</v>
      </c>
      <c r="AA36">
        <v>0</v>
      </c>
      <c r="AB36">
        <f t="shared" si="18"/>
        <v>6</v>
      </c>
      <c r="AC36">
        <v>0</v>
      </c>
      <c r="AD36">
        <f t="shared" si="19"/>
        <v>6</v>
      </c>
      <c r="AE36">
        <v>0</v>
      </c>
      <c r="AF36">
        <f t="shared" si="20"/>
        <v>6</v>
      </c>
      <c r="AG36">
        <v>2</v>
      </c>
      <c r="AH36">
        <f t="shared" si="21"/>
        <v>4</v>
      </c>
      <c r="AI36">
        <v>0</v>
      </c>
      <c r="AJ36">
        <f t="shared" si="22"/>
        <v>4</v>
      </c>
      <c r="AK36">
        <v>1</v>
      </c>
      <c r="AL36">
        <f t="shared" si="23"/>
        <v>3</v>
      </c>
      <c r="AM36">
        <v>2</v>
      </c>
      <c r="AN36">
        <v>2</v>
      </c>
      <c r="AO36">
        <v>1</v>
      </c>
      <c r="AP36">
        <f t="shared" si="25"/>
        <v>1</v>
      </c>
      <c r="AQ36">
        <v>1</v>
      </c>
      <c r="AR36">
        <f t="shared" si="26"/>
        <v>0</v>
      </c>
      <c r="AS36">
        <v>0</v>
      </c>
      <c r="AT36">
        <f t="shared" si="27"/>
        <v>0</v>
      </c>
      <c r="AU36">
        <v>0</v>
      </c>
      <c r="AV36">
        <f t="shared" si="34"/>
        <v>0</v>
      </c>
      <c r="AW36">
        <v>0</v>
      </c>
      <c r="AX36">
        <f t="shared" si="28"/>
        <v>0</v>
      </c>
      <c r="AY36">
        <v>0</v>
      </c>
      <c r="AZ36" s="8">
        <f t="shared" si="29"/>
        <v>0</v>
      </c>
      <c r="BB36" s="21">
        <f t="shared" si="30"/>
        <v>7</v>
      </c>
      <c r="BC36">
        <f t="shared" si="35"/>
        <v>0</v>
      </c>
      <c r="BD36">
        <f>BC36*F36</f>
        <v>0</v>
      </c>
      <c r="BE36">
        <f>$BB36*G36</f>
        <v>7</v>
      </c>
      <c r="BF36" s="21">
        <f t="shared" si="36"/>
        <v>0</v>
      </c>
      <c r="BG36" s="21">
        <f t="shared" si="38"/>
        <v>0</v>
      </c>
    </row>
    <row r="37" spans="1:59">
      <c r="A37" s="44"/>
      <c r="B37" s="12"/>
      <c r="C37" s="35" t="s">
        <v>37</v>
      </c>
      <c r="D37" s="14">
        <v>0</v>
      </c>
      <c r="E37" s="14">
        <v>0</v>
      </c>
      <c r="F37" s="14">
        <v>0</v>
      </c>
      <c r="G37" s="14">
        <v>1</v>
      </c>
      <c r="H37" s="14">
        <v>0</v>
      </c>
      <c r="I37" s="29">
        <v>6</v>
      </c>
      <c r="J37">
        <f t="shared" si="37"/>
        <v>6</v>
      </c>
      <c r="K37">
        <v>0</v>
      </c>
      <c r="L37">
        <f t="shared" si="4"/>
        <v>6</v>
      </c>
      <c r="M37">
        <v>0</v>
      </c>
      <c r="N37">
        <f>L37-M37</f>
        <v>6</v>
      </c>
      <c r="O37">
        <v>0</v>
      </c>
      <c r="P37">
        <f t="shared" si="12"/>
        <v>6</v>
      </c>
      <c r="Q37">
        <v>0</v>
      </c>
      <c r="R37">
        <f t="shared" si="13"/>
        <v>6</v>
      </c>
      <c r="S37">
        <v>0</v>
      </c>
      <c r="T37">
        <f t="shared" si="14"/>
        <v>6</v>
      </c>
      <c r="U37">
        <v>0</v>
      </c>
      <c r="V37">
        <f t="shared" si="15"/>
        <v>6</v>
      </c>
      <c r="W37">
        <v>0</v>
      </c>
      <c r="X37">
        <f t="shared" si="16"/>
        <v>6</v>
      </c>
      <c r="Y37">
        <v>0</v>
      </c>
      <c r="Z37">
        <f t="shared" si="17"/>
        <v>6</v>
      </c>
      <c r="AA37">
        <v>0</v>
      </c>
      <c r="AB37">
        <f t="shared" si="18"/>
        <v>6</v>
      </c>
      <c r="AC37">
        <v>0</v>
      </c>
      <c r="AD37">
        <f t="shared" si="19"/>
        <v>6</v>
      </c>
      <c r="AE37">
        <v>0</v>
      </c>
      <c r="AF37">
        <f t="shared" si="20"/>
        <v>6</v>
      </c>
      <c r="AG37">
        <v>1</v>
      </c>
      <c r="AH37">
        <f t="shared" si="21"/>
        <v>5</v>
      </c>
      <c r="AI37">
        <v>0</v>
      </c>
      <c r="AJ37">
        <f t="shared" si="22"/>
        <v>5</v>
      </c>
      <c r="AK37">
        <v>1</v>
      </c>
      <c r="AL37">
        <f t="shared" si="23"/>
        <v>4</v>
      </c>
      <c r="AM37">
        <v>1</v>
      </c>
      <c r="AN37">
        <f t="shared" si="24"/>
        <v>3</v>
      </c>
      <c r="AO37">
        <v>1</v>
      </c>
      <c r="AP37">
        <f t="shared" si="25"/>
        <v>2</v>
      </c>
      <c r="AQ37">
        <v>1</v>
      </c>
      <c r="AR37">
        <f t="shared" si="26"/>
        <v>1</v>
      </c>
      <c r="AS37">
        <v>1</v>
      </c>
      <c r="AT37">
        <f t="shared" si="27"/>
        <v>0</v>
      </c>
      <c r="AU37">
        <v>0</v>
      </c>
      <c r="AV37">
        <f t="shared" si="34"/>
        <v>0</v>
      </c>
      <c r="AW37">
        <v>0</v>
      </c>
      <c r="AX37">
        <f t="shared" si="28"/>
        <v>0</v>
      </c>
      <c r="AY37">
        <v>0</v>
      </c>
      <c r="AZ37" s="8">
        <f t="shared" si="29"/>
        <v>0</v>
      </c>
      <c r="BB37" s="21">
        <f t="shared" si="30"/>
        <v>6</v>
      </c>
      <c r="BC37">
        <f t="shared" si="35"/>
        <v>0</v>
      </c>
      <c r="BD37">
        <f>BC37*F37</f>
        <v>0</v>
      </c>
      <c r="BE37">
        <f>$BB37*G37</f>
        <v>6</v>
      </c>
      <c r="BF37" s="21">
        <f t="shared" si="36"/>
        <v>0</v>
      </c>
      <c r="BG37" s="21">
        <f t="shared" si="38"/>
        <v>0</v>
      </c>
    </row>
    <row r="38" spans="1:59" ht="26.45">
      <c r="A38" s="44"/>
      <c r="B38" s="9">
        <v>8</v>
      </c>
      <c r="C38" s="38" t="s">
        <v>38</v>
      </c>
      <c r="D38" s="26">
        <v>0.25</v>
      </c>
      <c r="E38" s="26">
        <v>0.75</v>
      </c>
      <c r="F38" s="13"/>
      <c r="G38" s="13"/>
      <c r="H38" s="13"/>
      <c r="I38" s="11"/>
      <c r="J38" s="11"/>
      <c r="K38" s="11"/>
      <c r="L38" s="11"/>
      <c r="M38" s="11"/>
      <c r="N38" s="11"/>
      <c r="O38" s="11"/>
      <c r="P38" s="13"/>
      <c r="Q38" s="13"/>
      <c r="R38" s="11"/>
      <c r="S38" s="11"/>
      <c r="T38" s="11"/>
      <c r="U38" s="11"/>
      <c r="V38" s="11"/>
      <c r="W38" s="11"/>
      <c r="X38" s="11"/>
      <c r="Y38" s="13"/>
      <c r="Z38" s="13"/>
      <c r="AA38" s="11"/>
      <c r="AB38" s="11"/>
      <c r="AC38" s="11"/>
      <c r="AD38" s="11"/>
      <c r="AE38" s="11"/>
      <c r="AF38" s="11"/>
      <c r="AG38" s="11"/>
      <c r="AH38" s="13"/>
      <c r="AI38" s="13"/>
      <c r="AJ38" s="11"/>
      <c r="AK38" s="11"/>
      <c r="AL38" s="11"/>
      <c r="AM38" s="11"/>
      <c r="AN38" s="11"/>
      <c r="AO38" s="11"/>
      <c r="AP38" s="11"/>
      <c r="AQ38" s="13"/>
      <c r="AR38" s="13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</row>
    <row r="39" spans="1:59" ht="17.25" customHeight="1">
      <c r="A39" s="44"/>
      <c r="B39" s="12"/>
      <c r="C39" s="35" t="s">
        <v>39</v>
      </c>
      <c r="D39" s="14">
        <v>0</v>
      </c>
      <c r="E39" s="14">
        <v>1</v>
      </c>
      <c r="F39" s="14">
        <v>0</v>
      </c>
      <c r="G39" s="14">
        <v>0</v>
      </c>
      <c r="H39" s="14">
        <v>0</v>
      </c>
      <c r="I39">
        <v>5</v>
      </c>
      <c r="J39">
        <f t="shared" si="37"/>
        <v>5</v>
      </c>
      <c r="K39">
        <v>1</v>
      </c>
      <c r="L39">
        <f t="shared" si="4"/>
        <v>4</v>
      </c>
      <c r="M39">
        <v>0</v>
      </c>
      <c r="N39">
        <f>L39-M39</f>
        <v>4</v>
      </c>
      <c r="O39">
        <v>0</v>
      </c>
      <c r="P39">
        <f t="shared" si="12"/>
        <v>4</v>
      </c>
      <c r="Q39">
        <v>3</v>
      </c>
      <c r="R39">
        <v>5</v>
      </c>
      <c r="S39">
        <v>0</v>
      </c>
      <c r="T39">
        <f t="shared" si="14"/>
        <v>5</v>
      </c>
      <c r="U39">
        <v>0</v>
      </c>
      <c r="V39">
        <f t="shared" si="15"/>
        <v>5</v>
      </c>
      <c r="W39">
        <v>3</v>
      </c>
      <c r="X39">
        <f t="shared" si="16"/>
        <v>2</v>
      </c>
      <c r="Y39">
        <v>0</v>
      </c>
      <c r="Z39">
        <f t="shared" si="17"/>
        <v>2</v>
      </c>
      <c r="AA39">
        <v>0</v>
      </c>
      <c r="AB39">
        <f t="shared" si="18"/>
        <v>2</v>
      </c>
      <c r="AC39">
        <v>0</v>
      </c>
      <c r="AD39">
        <f t="shared" si="19"/>
        <v>2</v>
      </c>
      <c r="AE39">
        <v>2</v>
      </c>
      <c r="AF39">
        <v>3</v>
      </c>
      <c r="AG39">
        <v>1</v>
      </c>
      <c r="AH39">
        <f t="shared" si="21"/>
        <v>2</v>
      </c>
      <c r="AI39">
        <v>0</v>
      </c>
      <c r="AJ39">
        <f t="shared" si="22"/>
        <v>2</v>
      </c>
      <c r="AK39">
        <v>0</v>
      </c>
      <c r="AL39">
        <f t="shared" si="23"/>
        <v>2</v>
      </c>
      <c r="AM39">
        <v>0</v>
      </c>
      <c r="AN39">
        <f t="shared" si="24"/>
        <v>2</v>
      </c>
      <c r="AO39">
        <v>0</v>
      </c>
      <c r="AP39">
        <f t="shared" si="25"/>
        <v>2</v>
      </c>
      <c r="AQ39">
        <v>0</v>
      </c>
      <c r="AR39">
        <f t="shared" si="26"/>
        <v>2</v>
      </c>
      <c r="AS39">
        <v>2</v>
      </c>
      <c r="AT39">
        <v>0</v>
      </c>
      <c r="AU39">
        <v>0</v>
      </c>
      <c r="AV39">
        <f t="shared" si="34"/>
        <v>0</v>
      </c>
      <c r="AW39">
        <v>0</v>
      </c>
      <c r="AX39">
        <f t="shared" si="28"/>
        <v>0</v>
      </c>
      <c r="AY39">
        <v>0</v>
      </c>
      <c r="AZ39" s="8">
        <f t="shared" si="29"/>
        <v>0</v>
      </c>
      <c r="BB39" s="21">
        <f t="shared" si="30"/>
        <v>12</v>
      </c>
      <c r="BC39">
        <f t="shared" si="35"/>
        <v>0</v>
      </c>
      <c r="BD39">
        <f>BC39*F39</f>
        <v>0</v>
      </c>
      <c r="BE39">
        <f>BB39*G39</f>
        <v>0</v>
      </c>
      <c r="BF39" s="21">
        <f>$BB39*E39</f>
        <v>12</v>
      </c>
      <c r="BG39" s="21">
        <f t="shared" si="38"/>
        <v>0</v>
      </c>
    </row>
    <row r="40" spans="1:59">
      <c r="A40" s="44"/>
      <c r="B40" s="12"/>
      <c r="C40" s="35" t="s">
        <v>40</v>
      </c>
      <c r="D40" s="14">
        <v>0</v>
      </c>
      <c r="E40" s="14">
        <v>1</v>
      </c>
      <c r="F40" s="14">
        <v>0</v>
      </c>
      <c r="G40" s="14">
        <v>0</v>
      </c>
      <c r="H40" s="14">
        <v>0</v>
      </c>
      <c r="I40">
        <v>4</v>
      </c>
      <c r="J40">
        <f>I40</f>
        <v>4</v>
      </c>
      <c r="K40">
        <v>2</v>
      </c>
      <c r="L40">
        <f t="shared" si="4"/>
        <v>2</v>
      </c>
      <c r="M40">
        <v>0</v>
      </c>
      <c r="N40">
        <f>L40-M40</f>
        <v>2</v>
      </c>
      <c r="O40">
        <v>0</v>
      </c>
      <c r="P40">
        <f t="shared" si="12"/>
        <v>2</v>
      </c>
      <c r="Q40">
        <v>0</v>
      </c>
      <c r="R40">
        <f t="shared" si="13"/>
        <v>2</v>
      </c>
      <c r="S40">
        <v>0</v>
      </c>
      <c r="T40">
        <f t="shared" si="14"/>
        <v>2</v>
      </c>
      <c r="U40">
        <v>0</v>
      </c>
      <c r="V40">
        <f t="shared" si="15"/>
        <v>2</v>
      </c>
      <c r="W40">
        <v>0</v>
      </c>
      <c r="X40">
        <f t="shared" si="16"/>
        <v>2</v>
      </c>
      <c r="Y40">
        <v>0</v>
      </c>
      <c r="Z40">
        <f t="shared" si="17"/>
        <v>2</v>
      </c>
      <c r="AA40">
        <v>0</v>
      </c>
      <c r="AB40">
        <f t="shared" si="18"/>
        <v>2</v>
      </c>
      <c r="AC40">
        <v>0</v>
      </c>
      <c r="AD40">
        <f t="shared" si="19"/>
        <v>2</v>
      </c>
      <c r="AE40">
        <v>1</v>
      </c>
      <c r="AF40">
        <f t="shared" si="20"/>
        <v>1</v>
      </c>
      <c r="AG40">
        <v>0</v>
      </c>
      <c r="AH40">
        <f t="shared" si="21"/>
        <v>1</v>
      </c>
      <c r="AI40">
        <v>0</v>
      </c>
      <c r="AJ40">
        <f t="shared" si="22"/>
        <v>1</v>
      </c>
      <c r="AK40">
        <v>0</v>
      </c>
      <c r="AL40">
        <f t="shared" si="23"/>
        <v>1</v>
      </c>
      <c r="AM40">
        <v>0</v>
      </c>
      <c r="AN40">
        <f t="shared" si="24"/>
        <v>1</v>
      </c>
      <c r="AO40">
        <v>1</v>
      </c>
      <c r="AP40">
        <f t="shared" si="25"/>
        <v>0</v>
      </c>
      <c r="AR40">
        <f t="shared" si="26"/>
        <v>0</v>
      </c>
      <c r="AS40">
        <v>0</v>
      </c>
      <c r="AT40">
        <f t="shared" si="27"/>
        <v>0</v>
      </c>
      <c r="AU40">
        <v>0</v>
      </c>
      <c r="AV40">
        <f t="shared" si="34"/>
        <v>0</v>
      </c>
      <c r="AW40">
        <v>0</v>
      </c>
      <c r="AX40">
        <f t="shared" si="28"/>
        <v>0</v>
      </c>
      <c r="AY40">
        <v>0</v>
      </c>
      <c r="AZ40" s="8">
        <f t="shared" si="29"/>
        <v>0</v>
      </c>
      <c r="BB40" s="21">
        <f t="shared" si="30"/>
        <v>4</v>
      </c>
      <c r="BC40">
        <f t="shared" si="35"/>
        <v>0</v>
      </c>
      <c r="BD40">
        <f>BC40*F40</f>
        <v>0</v>
      </c>
      <c r="BE40">
        <f>BB40*G40</f>
        <v>0</v>
      </c>
      <c r="BF40" s="21">
        <f t="shared" si="36"/>
        <v>4</v>
      </c>
      <c r="BG40" s="21">
        <f t="shared" si="38"/>
        <v>0</v>
      </c>
    </row>
    <row r="41" spans="1:59">
      <c r="A41" s="44"/>
      <c r="B41" s="12"/>
      <c r="C41" s="35" t="s">
        <v>41</v>
      </c>
      <c r="D41" s="14">
        <v>0.25</v>
      </c>
      <c r="E41" s="14">
        <f>E38</f>
        <v>0.75</v>
      </c>
      <c r="F41" s="14">
        <v>0</v>
      </c>
      <c r="G41" s="14">
        <v>0</v>
      </c>
      <c r="H41" s="14">
        <v>0</v>
      </c>
      <c r="I41">
        <v>5</v>
      </c>
      <c r="J41">
        <f t="shared" si="37"/>
        <v>5</v>
      </c>
      <c r="K41">
        <v>1</v>
      </c>
      <c r="L41">
        <f t="shared" si="4"/>
        <v>4</v>
      </c>
      <c r="M41">
        <v>1</v>
      </c>
      <c r="N41">
        <f>L41-M41</f>
        <v>3</v>
      </c>
      <c r="O41">
        <v>0</v>
      </c>
      <c r="P41">
        <f t="shared" si="12"/>
        <v>3</v>
      </c>
      <c r="Q41">
        <v>0</v>
      </c>
      <c r="R41">
        <f t="shared" si="13"/>
        <v>3</v>
      </c>
      <c r="S41">
        <v>1</v>
      </c>
      <c r="T41">
        <f t="shared" si="14"/>
        <v>2</v>
      </c>
      <c r="U41">
        <v>0</v>
      </c>
      <c r="V41">
        <f t="shared" si="15"/>
        <v>2</v>
      </c>
      <c r="W41">
        <v>0</v>
      </c>
      <c r="X41">
        <f t="shared" si="16"/>
        <v>2</v>
      </c>
      <c r="Y41">
        <v>0</v>
      </c>
      <c r="Z41">
        <f t="shared" si="17"/>
        <v>2</v>
      </c>
      <c r="AA41">
        <v>0</v>
      </c>
      <c r="AB41">
        <f t="shared" si="18"/>
        <v>2</v>
      </c>
      <c r="AC41">
        <v>0</v>
      </c>
      <c r="AD41">
        <f t="shared" si="19"/>
        <v>2</v>
      </c>
      <c r="AE41">
        <v>1</v>
      </c>
      <c r="AF41">
        <v>3</v>
      </c>
      <c r="AG41">
        <v>0</v>
      </c>
      <c r="AH41">
        <f t="shared" si="21"/>
        <v>3</v>
      </c>
      <c r="AI41">
        <v>0</v>
      </c>
      <c r="AJ41">
        <f t="shared" si="22"/>
        <v>3</v>
      </c>
      <c r="AK41">
        <v>0</v>
      </c>
      <c r="AL41">
        <f t="shared" si="23"/>
        <v>3</v>
      </c>
      <c r="AM41">
        <v>0</v>
      </c>
      <c r="AN41">
        <f t="shared" si="24"/>
        <v>3</v>
      </c>
      <c r="AO41">
        <v>0</v>
      </c>
      <c r="AP41">
        <f t="shared" si="25"/>
        <v>3</v>
      </c>
      <c r="AQ41">
        <v>0</v>
      </c>
      <c r="AR41">
        <f t="shared" si="26"/>
        <v>3</v>
      </c>
      <c r="AS41">
        <v>3</v>
      </c>
      <c r="AT41">
        <f t="shared" si="27"/>
        <v>0</v>
      </c>
      <c r="AU41">
        <v>0</v>
      </c>
      <c r="AV41">
        <v>1</v>
      </c>
      <c r="AW41">
        <v>1</v>
      </c>
      <c r="AX41">
        <f t="shared" si="28"/>
        <v>0</v>
      </c>
      <c r="AY41">
        <v>0</v>
      </c>
      <c r="AZ41" s="8">
        <f t="shared" si="29"/>
        <v>0</v>
      </c>
      <c r="BB41" s="21">
        <f t="shared" si="30"/>
        <v>8</v>
      </c>
      <c r="BC41">
        <f t="shared" si="35"/>
        <v>2</v>
      </c>
      <c r="BD41">
        <f>BC41*F41</f>
        <v>0</v>
      </c>
      <c r="BE41">
        <f>BB41*G41</f>
        <v>0</v>
      </c>
      <c r="BF41" s="21">
        <f t="shared" si="36"/>
        <v>6</v>
      </c>
      <c r="BG41" s="21">
        <f t="shared" si="38"/>
        <v>0</v>
      </c>
    </row>
    <row r="42" spans="1:59">
      <c r="A42" s="44"/>
      <c r="B42" s="12"/>
      <c r="C42" s="35" t="s">
        <v>42</v>
      </c>
      <c r="D42" s="14">
        <v>0</v>
      </c>
      <c r="E42" s="14">
        <v>1</v>
      </c>
      <c r="F42" s="14">
        <v>0</v>
      </c>
      <c r="G42" s="14">
        <v>0</v>
      </c>
      <c r="H42" s="14">
        <v>0</v>
      </c>
      <c r="I42">
        <v>5</v>
      </c>
      <c r="J42">
        <v>5</v>
      </c>
      <c r="K42" s="28">
        <v>0</v>
      </c>
      <c r="L42" s="28">
        <f>J42</f>
        <v>5</v>
      </c>
      <c r="M42">
        <v>0</v>
      </c>
      <c r="N42">
        <v>5</v>
      </c>
      <c r="O42">
        <v>1</v>
      </c>
      <c r="P42">
        <f t="shared" si="12"/>
        <v>4</v>
      </c>
      <c r="Q42">
        <v>1</v>
      </c>
      <c r="R42">
        <f t="shared" si="13"/>
        <v>3</v>
      </c>
      <c r="S42">
        <v>0</v>
      </c>
      <c r="T42">
        <f t="shared" si="14"/>
        <v>3</v>
      </c>
      <c r="U42">
        <v>0</v>
      </c>
      <c r="V42">
        <f t="shared" si="15"/>
        <v>3</v>
      </c>
      <c r="W42">
        <v>0</v>
      </c>
      <c r="X42">
        <f t="shared" si="16"/>
        <v>3</v>
      </c>
      <c r="Y42">
        <v>0</v>
      </c>
      <c r="Z42">
        <f t="shared" si="17"/>
        <v>3</v>
      </c>
      <c r="AA42">
        <v>1</v>
      </c>
      <c r="AB42">
        <f t="shared" si="18"/>
        <v>2</v>
      </c>
      <c r="AC42">
        <v>0</v>
      </c>
      <c r="AD42">
        <f t="shared" si="19"/>
        <v>2</v>
      </c>
      <c r="AE42">
        <v>0</v>
      </c>
      <c r="AF42">
        <f t="shared" si="20"/>
        <v>2</v>
      </c>
      <c r="AG42">
        <v>0</v>
      </c>
      <c r="AH42">
        <f t="shared" si="21"/>
        <v>2</v>
      </c>
      <c r="AI42">
        <v>0</v>
      </c>
      <c r="AJ42">
        <f t="shared" si="22"/>
        <v>2</v>
      </c>
      <c r="AK42">
        <v>1</v>
      </c>
      <c r="AL42">
        <f t="shared" si="23"/>
        <v>1</v>
      </c>
      <c r="AM42">
        <v>0</v>
      </c>
      <c r="AN42">
        <f t="shared" si="24"/>
        <v>1</v>
      </c>
      <c r="AO42">
        <v>1</v>
      </c>
      <c r="AP42">
        <f t="shared" si="25"/>
        <v>0</v>
      </c>
      <c r="AQ42">
        <v>0</v>
      </c>
      <c r="AR42">
        <f t="shared" si="26"/>
        <v>0</v>
      </c>
      <c r="AS42">
        <v>0</v>
      </c>
      <c r="AT42">
        <f t="shared" si="27"/>
        <v>0</v>
      </c>
      <c r="AU42">
        <v>0</v>
      </c>
      <c r="AV42">
        <v>1</v>
      </c>
      <c r="AW42">
        <v>1</v>
      </c>
      <c r="AX42">
        <f t="shared" si="28"/>
        <v>0</v>
      </c>
      <c r="AY42">
        <v>0</v>
      </c>
      <c r="AZ42" s="8">
        <v>0</v>
      </c>
      <c r="BB42" s="21">
        <f t="shared" si="30"/>
        <v>6</v>
      </c>
      <c r="BC42">
        <f t="shared" si="35"/>
        <v>0</v>
      </c>
      <c r="BD42">
        <f>BC42*F42</f>
        <v>0</v>
      </c>
      <c r="BE42">
        <f>BB42*G42</f>
        <v>0</v>
      </c>
      <c r="BF42" s="21">
        <f t="shared" si="36"/>
        <v>6</v>
      </c>
      <c r="BG42" s="21">
        <f t="shared" si="38"/>
        <v>0</v>
      </c>
    </row>
    <row r="43" spans="1:59">
      <c r="A43" s="44"/>
      <c r="B43" s="9">
        <v>9</v>
      </c>
      <c r="C43" s="38" t="s">
        <v>43</v>
      </c>
      <c r="D43" s="31">
        <f>D44</f>
        <v>0.25</v>
      </c>
      <c r="E43" s="26">
        <f>E44</f>
        <v>0.75</v>
      </c>
      <c r="F43" s="13"/>
      <c r="G43" s="13"/>
      <c r="H43" s="13"/>
      <c r="I43" s="11"/>
      <c r="J43" s="11"/>
      <c r="K43" s="11"/>
      <c r="L43" s="11"/>
      <c r="M43" s="11"/>
      <c r="N43" s="11"/>
      <c r="O43" s="11"/>
      <c r="P43" s="13"/>
      <c r="Q43" s="13"/>
      <c r="R43" s="11"/>
      <c r="S43" s="11"/>
      <c r="T43" s="11"/>
      <c r="U43" s="11"/>
      <c r="V43" s="11"/>
      <c r="W43" s="11"/>
      <c r="X43" s="11"/>
      <c r="Y43" s="13"/>
      <c r="Z43" s="13"/>
      <c r="AA43" s="11"/>
      <c r="AB43" s="11"/>
      <c r="AC43" s="11"/>
      <c r="AD43" s="11"/>
      <c r="AE43" s="11"/>
      <c r="AF43" s="11"/>
      <c r="AG43" s="11"/>
      <c r="AH43" s="13"/>
      <c r="AI43" s="13"/>
      <c r="AJ43" s="11"/>
      <c r="AK43" s="11"/>
      <c r="AL43" s="11"/>
      <c r="AM43" s="11"/>
      <c r="AN43" s="11"/>
      <c r="AO43" s="11"/>
      <c r="AP43" s="11"/>
      <c r="AQ43" s="13"/>
      <c r="AR43" s="13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</row>
    <row r="44" spans="1:59">
      <c r="A44" s="44"/>
      <c r="B44" s="8"/>
      <c r="C44" s="35" t="s">
        <v>44</v>
      </c>
      <c r="D44" s="14">
        <v>0.25</v>
      </c>
      <c r="E44" s="14">
        <f>100%-D44</f>
        <v>0.75</v>
      </c>
      <c r="F44" s="14">
        <v>0</v>
      </c>
      <c r="G44" s="14">
        <v>0</v>
      </c>
      <c r="H44" s="14">
        <v>0</v>
      </c>
      <c r="I44" s="28">
        <v>8</v>
      </c>
      <c r="J44">
        <f>I44</f>
        <v>8</v>
      </c>
      <c r="K44">
        <v>0</v>
      </c>
      <c r="L44">
        <f t="shared" si="4"/>
        <v>8</v>
      </c>
      <c r="M44">
        <v>0</v>
      </c>
      <c r="N44">
        <f>L44-M44</f>
        <v>8</v>
      </c>
      <c r="O44">
        <v>0</v>
      </c>
      <c r="P44">
        <f t="shared" si="12"/>
        <v>8</v>
      </c>
      <c r="Q44">
        <v>0</v>
      </c>
      <c r="R44">
        <f t="shared" si="13"/>
        <v>8</v>
      </c>
      <c r="S44">
        <v>0</v>
      </c>
      <c r="T44">
        <f t="shared" si="14"/>
        <v>8</v>
      </c>
      <c r="U44">
        <v>0</v>
      </c>
      <c r="V44">
        <f t="shared" si="15"/>
        <v>8</v>
      </c>
      <c r="W44">
        <v>0</v>
      </c>
      <c r="X44">
        <f t="shared" si="16"/>
        <v>8</v>
      </c>
      <c r="Y44">
        <v>0</v>
      </c>
      <c r="Z44">
        <f t="shared" si="17"/>
        <v>8</v>
      </c>
      <c r="AA44">
        <v>0</v>
      </c>
      <c r="AB44">
        <f t="shared" si="18"/>
        <v>8</v>
      </c>
      <c r="AC44">
        <v>0</v>
      </c>
      <c r="AD44">
        <f t="shared" si="19"/>
        <v>8</v>
      </c>
      <c r="AE44">
        <v>0</v>
      </c>
      <c r="AF44">
        <f t="shared" si="20"/>
        <v>8</v>
      </c>
      <c r="AG44">
        <v>0</v>
      </c>
      <c r="AH44">
        <f t="shared" si="21"/>
        <v>8</v>
      </c>
      <c r="AI44">
        <v>0</v>
      </c>
      <c r="AJ44">
        <f t="shared" si="22"/>
        <v>8</v>
      </c>
      <c r="AK44">
        <v>0</v>
      </c>
      <c r="AL44">
        <f t="shared" si="23"/>
        <v>8</v>
      </c>
      <c r="AM44">
        <v>0</v>
      </c>
      <c r="AN44">
        <f t="shared" si="24"/>
        <v>8</v>
      </c>
      <c r="AO44">
        <v>0</v>
      </c>
      <c r="AP44">
        <f t="shared" si="25"/>
        <v>8</v>
      </c>
      <c r="AQ44">
        <v>0</v>
      </c>
      <c r="AR44">
        <f t="shared" si="26"/>
        <v>8</v>
      </c>
      <c r="AS44">
        <v>0</v>
      </c>
      <c r="AT44">
        <f t="shared" si="27"/>
        <v>8</v>
      </c>
      <c r="AU44">
        <v>4</v>
      </c>
      <c r="AV44">
        <f t="shared" si="34"/>
        <v>4</v>
      </c>
      <c r="AW44">
        <v>4</v>
      </c>
      <c r="AX44">
        <f>AV44-AW44</f>
        <v>0</v>
      </c>
      <c r="AY44">
        <v>0</v>
      </c>
      <c r="AZ44" s="8">
        <f t="shared" si="29"/>
        <v>0</v>
      </c>
      <c r="BB44" s="21">
        <f t="shared" si="30"/>
        <v>8</v>
      </c>
      <c r="BC44">
        <f t="shared" si="35"/>
        <v>2</v>
      </c>
      <c r="BD44">
        <f t="shared" ref="BD44:BE46" si="39">BC44*F44</f>
        <v>0</v>
      </c>
      <c r="BE44">
        <f t="shared" si="39"/>
        <v>0</v>
      </c>
      <c r="BF44" s="21">
        <f t="shared" si="36"/>
        <v>6</v>
      </c>
      <c r="BG44" s="21">
        <f t="shared" si="38"/>
        <v>0</v>
      </c>
    </row>
    <row r="45" spans="1:59">
      <c r="A45" s="44"/>
      <c r="B45" s="8"/>
      <c r="C45" s="35" t="s">
        <v>45</v>
      </c>
      <c r="D45" s="14">
        <v>0</v>
      </c>
      <c r="E45" s="14">
        <v>1</v>
      </c>
      <c r="F45" s="14">
        <v>0</v>
      </c>
      <c r="G45" s="14">
        <v>0</v>
      </c>
      <c r="H45" s="14">
        <v>0</v>
      </c>
      <c r="I45" s="28">
        <v>3</v>
      </c>
      <c r="J45">
        <f>I45</f>
        <v>3</v>
      </c>
      <c r="K45">
        <v>0</v>
      </c>
      <c r="L45">
        <f>J45-K45</f>
        <v>3</v>
      </c>
      <c r="M45">
        <v>0</v>
      </c>
      <c r="N45">
        <f>L45-M45</f>
        <v>3</v>
      </c>
      <c r="O45">
        <v>0</v>
      </c>
      <c r="P45">
        <f t="shared" si="12"/>
        <v>3</v>
      </c>
      <c r="Q45">
        <v>0</v>
      </c>
      <c r="R45">
        <f t="shared" si="13"/>
        <v>3</v>
      </c>
      <c r="S45">
        <v>0</v>
      </c>
      <c r="T45">
        <f t="shared" si="14"/>
        <v>3</v>
      </c>
      <c r="U45">
        <v>0</v>
      </c>
      <c r="V45">
        <f t="shared" si="15"/>
        <v>3</v>
      </c>
      <c r="W45">
        <v>0</v>
      </c>
      <c r="X45">
        <f t="shared" si="16"/>
        <v>3</v>
      </c>
      <c r="Y45">
        <v>0</v>
      </c>
      <c r="Z45">
        <f t="shared" si="17"/>
        <v>3</v>
      </c>
      <c r="AA45">
        <v>0</v>
      </c>
      <c r="AB45">
        <f t="shared" si="18"/>
        <v>3</v>
      </c>
      <c r="AC45">
        <v>0</v>
      </c>
      <c r="AD45">
        <f t="shared" si="19"/>
        <v>3</v>
      </c>
      <c r="AE45">
        <v>0</v>
      </c>
      <c r="AF45">
        <f t="shared" si="20"/>
        <v>3</v>
      </c>
      <c r="AG45">
        <v>0</v>
      </c>
      <c r="AH45">
        <f t="shared" si="21"/>
        <v>3</v>
      </c>
      <c r="AI45">
        <v>0</v>
      </c>
      <c r="AJ45">
        <f t="shared" si="22"/>
        <v>3</v>
      </c>
      <c r="AK45">
        <v>0</v>
      </c>
      <c r="AL45">
        <f t="shared" si="23"/>
        <v>3</v>
      </c>
      <c r="AM45">
        <v>0</v>
      </c>
      <c r="AN45">
        <f t="shared" si="24"/>
        <v>3</v>
      </c>
      <c r="AO45">
        <v>0</v>
      </c>
      <c r="AP45">
        <f t="shared" si="25"/>
        <v>3</v>
      </c>
      <c r="AQ45">
        <v>0</v>
      </c>
      <c r="AR45">
        <f t="shared" si="26"/>
        <v>3</v>
      </c>
      <c r="AS45">
        <v>0</v>
      </c>
      <c r="AT45">
        <f t="shared" si="27"/>
        <v>3</v>
      </c>
      <c r="AU45">
        <v>0</v>
      </c>
      <c r="AV45">
        <v>4</v>
      </c>
      <c r="AW45">
        <v>4</v>
      </c>
      <c r="AX45">
        <v>0</v>
      </c>
      <c r="AY45">
        <v>0</v>
      </c>
      <c r="AZ45" s="8">
        <f t="shared" si="29"/>
        <v>0</v>
      </c>
      <c r="BB45" s="21">
        <f t="shared" si="30"/>
        <v>4</v>
      </c>
      <c r="BC45">
        <f>$BB45*D45</f>
        <v>0</v>
      </c>
      <c r="BD45">
        <f>BC45*F45</f>
        <v>0</v>
      </c>
      <c r="BE45">
        <f t="shared" si="39"/>
        <v>0</v>
      </c>
      <c r="BF45" s="21">
        <f t="shared" si="36"/>
        <v>4</v>
      </c>
      <c r="BG45" s="21">
        <f t="shared" si="38"/>
        <v>0</v>
      </c>
    </row>
    <row r="46" spans="1:59">
      <c r="A46" s="44"/>
      <c r="B46" s="8"/>
      <c r="C46" s="35" t="s">
        <v>46</v>
      </c>
      <c r="D46" s="14">
        <v>0</v>
      </c>
      <c r="E46" s="14">
        <v>1</v>
      </c>
      <c r="F46" s="14">
        <v>0</v>
      </c>
      <c r="G46" s="14">
        <v>0</v>
      </c>
      <c r="H46" s="14">
        <v>0</v>
      </c>
      <c r="I46">
        <v>5</v>
      </c>
      <c r="J46">
        <f t="shared" si="37"/>
        <v>5</v>
      </c>
      <c r="K46">
        <v>0</v>
      </c>
      <c r="L46">
        <f t="shared" si="4"/>
        <v>5</v>
      </c>
      <c r="M46">
        <v>0</v>
      </c>
      <c r="N46">
        <f>L46-M46</f>
        <v>5</v>
      </c>
      <c r="O46">
        <v>0</v>
      </c>
      <c r="P46">
        <f t="shared" si="12"/>
        <v>5</v>
      </c>
      <c r="Q46">
        <v>0</v>
      </c>
      <c r="R46">
        <f t="shared" si="13"/>
        <v>5</v>
      </c>
      <c r="S46">
        <v>0</v>
      </c>
      <c r="T46">
        <f t="shared" si="14"/>
        <v>5</v>
      </c>
      <c r="U46">
        <v>0</v>
      </c>
      <c r="V46">
        <f t="shared" si="15"/>
        <v>5</v>
      </c>
      <c r="W46">
        <v>0</v>
      </c>
      <c r="X46">
        <f t="shared" si="16"/>
        <v>5</v>
      </c>
      <c r="Y46">
        <v>0</v>
      </c>
      <c r="Z46">
        <f t="shared" si="17"/>
        <v>5</v>
      </c>
      <c r="AA46">
        <v>0</v>
      </c>
      <c r="AB46">
        <f t="shared" si="18"/>
        <v>5</v>
      </c>
      <c r="AC46">
        <v>0</v>
      </c>
      <c r="AD46">
        <f t="shared" si="19"/>
        <v>5</v>
      </c>
      <c r="AE46">
        <v>0</v>
      </c>
      <c r="AF46">
        <f t="shared" si="20"/>
        <v>5</v>
      </c>
      <c r="AG46">
        <v>0</v>
      </c>
      <c r="AH46">
        <f t="shared" si="21"/>
        <v>5</v>
      </c>
      <c r="AI46">
        <v>0</v>
      </c>
      <c r="AJ46">
        <f t="shared" si="22"/>
        <v>5</v>
      </c>
      <c r="AK46">
        <v>0</v>
      </c>
      <c r="AL46">
        <f t="shared" si="23"/>
        <v>5</v>
      </c>
      <c r="AM46">
        <v>0</v>
      </c>
      <c r="AN46">
        <f t="shared" si="24"/>
        <v>5</v>
      </c>
      <c r="AO46">
        <v>0</v>
      </c>
      <c r="AP46">
        <f t="shared" si="25"/>
        <v>5</v>
      </c>
      <c r="AQ46">
        <v>0</v>
      </c>
      <c r="AR46">
        <f t="shared" si="26"/>
        <v>5</v>
      </c>
      <c r="AS46">
        <v>0</v>
      </c>
      <c r="AT46">
        <f t="shared" si="27"/>
        <v>5</v>
      </c>
      <c r="AU46">
        <v>2</v>
      </c>
      <c r="AV46">
        <f t="shared" si="34"/>
        <v>3</v>
      </c>
      <c r="AW46">
        <v>3</v>
      </c>
      <c r="AX46">
        <f>AV46-AW46</f>
        <v>0</v>
      </c>
      <c r="AY46">
        <v>0</v>
      </c>
      <c r="AZ46" s="8">
        <f t="shared" si="29"/>
        <v>0</v>
      </c>
      <c r="BB46" s="21">
        <f t="shared" si="30"/>
        <v>5</v>
      </c>
      <c r="BC46">
        <f t="shared" si="35"/>
        <v>0</v>
      </c>
      <c r="BD46">
        <f>BC46*F46</f>
        <v>0</v>
      </c>
      <c r="BE46">
        <f t="shared" si="39"/>
        <v>0</v>
      </c>
      <c r="BF46" s="21">
        <f t="shared" si="36"/>
        <v>5</v>
      </c>
      <c r="BG46" s="21">
        <f t="shared" si="38"/>
        <v>0</v>
      </c>
    </row>
    <row r="47" spans="1:59">
      <c r="A47" s="44"/>
      <c r="B47" s="9">
        <v>10</v>
      </c>
      <c r="C47" s="38" t="s">
        <v>47</v>
      </c>
      <c r="D47" s="26">
        <v>0.25</v>
      </c>
      <c r="E47" s="13"/>
      <c r="F47" s="30">
        <v>0.75</v>
      </c>
      <c r="G47" s="13"/>
      <c r="H47" s="13"/>
      <c r="I47" s="11"/>
      <c r="J47" s="11"/>
      <c r="K47" s="11"/>
      <c r="L47" s="11"/>
      <c r="M47" s="11"/>
      <c r="N47" s="11"/>
      <c r="O47" s="11"/>
      <c r="P47" s="13"/>
      <c r="Q47" s="13"/>
      <c r="R47" s="11"/>
      <c r="S47" s="11"/>
      <c r="T47" s="11"/>
      <c r="U47" s="11"/>
      <c r="V47" s="11"/>
      <c r="W47" s="11"/>
      <c r="X47" s="11"/>
      <c r="Y47" s="13"/>
      <c r="Z47" s="13"/>
      <c r="AA47" s="11"/>
      <c r="AB47" s="11"/>
      <c r="AC47" s="11"/>
      <c r="AD47" s="11"/>
      <c r="AE47" s="11"/>
      <c r="AF47" s="11"/>
      <c r="AG47" s="11"/>
      <c r="AH47" s="13"/>
      <c r="AI47" s="13"/>
      <c r="AJ47" s="11"/>
      <c r="AK47" s="11"/>
      <c r="AL47" s="11"/>
      <c r="AM47" s="11"/>
      <c r="AN47" s="11"/>
      <c r="AO47" s="11"/>
      <c r="AP47" s="11"/>
      <c r="AQ47" s="13"/>
      <c r="AR47" s="13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</row>
    <row r="48" spans="1:59">
      <c r="A48" s="44"/>
      <c r="B48" s="8"/>
      <c r="C48" s="35" t="s">
        <v>48</v>
      </c>
      <c r="D48" s="14">
        <v>0</v>
      </c>
      <c r="E48" s="14">
        <v>0</v>
      </c>
      <c r="F48" s="14">
        <v>1</v>
      </c>
      <c r="G48" s="14">
        <v>0</v>
      </c>
      <c r="H48" s="14">
        <v>0</v>
      </c>
      <c r="I48">
        <v>3</v>
      </c>
      <c r="J48">
        <f>I48</f>
        <v>3</v>
      </c>
      <c r="K48">
        <v>3</v>
      </c>
      <c r="L48">
        <v>4</v>
      </c>
      <c r="M48">
        <v>4</v>
      </c>
      <c r="N48">
        <v>3</v>
      </c>
      <c r="O48">
        <v>3</v>
      </c>
      <c r="P48">
        <f>N48-O48</f>
        <v>0</v>
      </c>
      <c r="Q48">
        <v>0</v>
      </c>
      <c r="R48">
        <f>P48-Q48</f>
        <v>0</v>
      </c>
      <c r="S48">
        <v>0</v>
      </c>
      <c r="T48">
        <v>2</v>
      </c>
      <c r="U48">
        <v>2</v>
      </c>
      <c r="V48">
        <v>3</v>
      </c>
      <c r="W48">
        <v>3</v>
      </c>
      <c r="X48">
        <v>6</v>
      </c>
      <c r="Y48">
        <v>6</v>
      </c>
      <c r="Z48">
        <v>5</v>
      </c>
      <c r="AA48">
        <v>5</v>
      </c>
      <c r="AB48">
        <v>4</v>
      </c>
      <c r="AC48">
        <v>2</v>
      </c>
      <c r="AD48">
        <f>AB48-AC48</f>
        <v>2</v>
      </c>
      <c r="AE48">
        <v>2</v>
      </c>
      <c r="AF48">
        <f>AD48-AE48</f>
        <v>0</v>
      </c>
      <c r="AG48">
        <v>0</v>
      </c>
      <c r="AH48">
        <v>4</v>
      </c>
      <c r="AI48">
        <v>2</v>
      </c>
      <c r="AJ48">
        <f>AH48-AI48</f>
        <v>2</v>
      </c>
      <c r="AK48">
        <v>2</v>
      </c>
      <c r="AL48">
        <v>3</v>
      </c>
      <c r="AM48">
        <v>3</v>
      </c>
      <c r="AN48">
        <f>AL48-AM48</f>
        <v>0</v>
      </c>
      <c r="AO48">
        <v>0</v>
      </c>
      <c r="AP48">
        <v>6</v>
      </c>
      <c r="AQ48">
        <v>3</v>
      </c>
      <c r="AR48">
        <f>AP48-AQ48</f>
        <v>3</v>
      </c>
      <c r="AS48">
        <v>3</v>
      </c>
      <c r="AT48">
        <v>5</v>
      </c>
      <c r="AU48">
        <v>4</v>
      </c>
      <c r="AV48">
        <v>7</v>
      </c>
      <c r="AW48">
        <v>5</v>
      </c>
      <c r="AX48">
        <f>AV48-AW48</f>
        <v>2</v>
      </c>
      <c r="AY48">
        <v>3</v>
      </c>
      <c r="AZ48" s="8">
        <f t="shared" si="29"/>
        <v>-1</v>
      </c>
      <c r="BB48" s="21">
        <f>AY48+AW48+AU48+AS48+AQ48+AO48+AM48+AK48+AI48+AG48+AE48+AC48+AA48+Y48+W48+U48+S48+Q48+O48+M48+K48</f>
        <v>55</v>
      </c>
      <c r="BC48">
        <f t="shared" si="35"/>
        <v>0</v>
      </c>
      <c r="BD48">
        <f>BB48*F48</f>
        <v>55</v>
      </c>
      <c r="BE48">
        <f t="shared" ref="BE48:BE49" si="40">BD48*G48</f>
        <v>0</v>
      </c>
      <c r="BF48" s="21">
        <f t="shared" si="36"/>
        <v>0</v>
      </c>
      <c r="BG48" s="21">
        <f t="shared" si="38"/>
        <v>0</v>
      </c>
    </row>
    <row r="49" spans="1:59">
      <c r="A49" s="44"/>
      <c r="B49" s="8"/>
      <c r="C49" s="35" t="s">
        <v>49</v>
      </c>
      <c r="D49" s="14">
        <v>0</v>
      </c>
      <c r="E49" s="14">
        <v>0</v>
      </c>
      <c r="F49" s="14">
        <v>1</v>
      </c>
      <c r="G49" s="14">
        <v>0</v>
      </c>
      <c r="H49" s="14">
        <v>0</v>
      </c>
      <c r="I49">
        <v>5</v>
      </c>
      <c r="J49">
        <f>I49</f>
        <v>5</v>
      </c>
      <c r="K49">
        <v>0</v>
      </c>
      <c r="L49">
        <f>J49-K49</f>
        <v>5</v>
      </c>
      <c r="M49">
        <v>0</v>
      </c>
      <c r="N49">
        <f>L49-M49</f>
        <v>5</v>
      </c>
      <c r="O49">
        <v>0</v>
      </c>
      <c r="P49">
        <f>N49-O49</f>
        <v>5</v>
      </c>
      <c r="Q49">
        <v>0</v>
      </c>
      <c r="R49">
        <f>P49-Q49</f>
        <v>5</v>
      </c>
      <c r="S49">
        <v>0</v>
      </c>
      <c r="T49">
        <f>R49-S49</f>
        <v>5</v>
      </c>
      <c r="U49">
        <v>0</v>
      </c>
      <c r="V49">
        <f>T49-U49</f>
        <v>5</v>
      </c>
      <c r="W49">
        <v>0</v>
      </c>
      <c r="X49">
        <f>V49-W49</f>
        <v>5</v>
      </c>
      <c r="Y49">
        <v>0</v>
      </c>
      <c r="Z49">
        <f>X49-Y49</f>
        <v>5</v>
      </c>
      <c r="AA49">
        <v>0</v>
      </c>
      <c r="AB49">
        <f>Z49-AA49</f>
        <v>5</v>
      </c>
      <c r="AC49">
        <v>0</v>
      </c>
      <c r="AD49">
        <f>AB49-AC49</f>
        <v>5</v>
      </c>
      <c r="AE49">
        <v>0</v>
      </c>
      <c r="AF49">
        <f>AD49-AE49</f>
        <v>5</v>
      </c>
      <c r="AG49">
        <v>0</v>
      </c>
      <c r="AH49">
        <f>AF49-AG49</f>
        <v>5</v>
      </c>
      <c r="AI49">
        <v>0</v>
      </c>
      <c r="AJ49">
        <f>AH49-AI49</f>
        <v>5</v>
      </c>
      <c r="AK49">
        <v>0</v>
      </c>
      <c r="AL49">
        <f>AJ49-AK49</f>
        <v>5</v>
      </c>
      <c r="AM49">
        <v>0</v>
      </c>
      <c r="AN49">
        <f>AL49-AM49</f>
        <v>5</v>
      </c>
      <c r="AO49">
        <v>0</v>
      </c>
      <c r="AP49">
        <f>AN49-AO49</f>
        <v>5</v>
      </c>
      <c r="AQ49">
        <v>0</v>
      </c>
      <c r="AR49">
        <f>AP49-AQ49</f>
        <v>5</v>
      </c>
      <c r="AS49">
        <v>0</v>
      </c>
      <c r="AT49">
        <f>AR49-AS49</f>
        <v>5</v>
      </c>
      <c r="AU49">
        <v>0</v>
      </c>
      <c r="AV49">
        <f>AT49-AU49</f>
        <v>5</v>
      </c>
      <c r="AW49">
        <v>3</v>
      </c>
      <c r="AX49">
        <f>AV49-AW49</f>
        <v>2</v>
      </c>
      <c r="AY49">
        <v>0</v>
      </c>
      <c r="AZ49" s="8">
        <f t="shared" si="29"/>
        <v>2</v>
      </c>
      <c r="BB49" s="21">
        <f>AY49+AW49+AU49+AS49+AQ49+AO49+AM49+AK49+AI49+AG49+AE49+AC49+AA49+Y49+W49+U49+S49+Q49+O49+M49+K49</f>
        <v>3</v>
      </c>
      <c r="BC49">
        <f>$BB49*D49</f>
        <v>0</v>
      </c>
      <c r="BD49">
        <f>BB49*F49</f>
        <v>3</v>
      </c>
      <c r="BE49">
        <f t="shared" si="40"/>
        <v>0</v>
      </c>
      <c r="BF49" s="21">
        <f t="shared" si="36"/>
        <v>0</v>
      </c>
      <c r="BG49" s="21">
        <f t="shared" si="38"/>
        <v>0</v>
      </c>
    </row>
    <row r="50" spans="1:59">
      <c r="A50" s="44"/>
      <c r="B50" s="8"/>
      <c r="C50" s="35" t="s">
        <v>50</v>
      </c>
      <c r="D50" s="14">
        <v>1</v>
      </c>
      <c r="E50" s="14">
        <v>0</v>
      </c>
      <c r="F50" s="14">
        <v>0</v>
      </c>
      <c r="G50" s="14">
        <v>0</v>
      </c>
      <c r="H50" s="14">
        <v>0</v>
      </c>
      <c r="I50" s="28">
        <v>2</v>
      </c>
      <c r="J50">
        <f>I50</f>
        <v>2</v>
      </c>
      <c r="K50">
        <v>0</v>
      </c>
      <c r="L50">
        <f>J50-K50</f>
        <v>2</v>
      </c>
      <c r="M50">
        <v>0</v>
      </c>
      <c r="N50">
        <f>L50-M50</f>
        <v>2</v>
      </c>
      <c r="O50">
        <v>0</v>
      </c>
      <c r="P50">
        <f>N50-O50</f>
        <v>2</v>
      </c>
      <c r="Q50">
        <v>0</v>
      </c>
      <c r="R50">
        <f>P50-Q50</f>
        <v>2</v>
      </c>
      <c r="S50">
        <v>0</v>
      </c>
      <c r="T50">
        <f>R50-S50</f>
        <v>2</v>
      </c>
      <c r="U50">
        <v>0</v>
      </c>
      <c r="V50">
        <f>T50-U50</f>
        <v>2</v>
      </c>
      <c r="W50">
        <v>0</v>
      </c>
      <c r="X50">
        <f>V50-W50</f>
        <v>2</v>
      </c>
      <c r="Y50">
        <v>0</v>
      </c>
      <c r="Z50">
        <f>X50-Y50</f>
        <v>2</v>
      </c>
      <c r="AA50">
        <v>0</v>
      </c>
      <c r="AB50">
        <f>Z50-AA50</f>
        <v>2</v>
      </c>
      <c r="AC50">
        <v>0</v>
      </c>
      <c r="AD50">
        <f>AB50-AC50</f>
        <v>2</v>
      </c>
      <c r="AE50">
        <v>0</v>
      </c>
      <c r="AF50">
        <f>AD50-AE50</f>
        <v>2</v>
      </c>
      <c r="AG50">
        <v>0</v>
      </c>
      <c r="AH50">
        <f>AF50-AG50</f>
        <v>2</v>
      </c>
      <c r="AI50">
        <v>0</v>
      </c>
      <c r="AJ50">
        <f>AH50-AI50</f>
        <v>2</v>
      </c>
      <c r="AK50">
        <v>0</v>
      </c>
      <c r="AL50">
        <f>AJ50-AK50</f>
        <v>2</v>
      </c>
      <c r="AM50">
        <v>0</v>
      </c>
      <c r="AN50">
        <f>AL50-AM50</f>
        <v>2</v>
      </c>
      <c r="AO50">
        <v>0</v>
      </c>
      <c r="AP50">
        <f>AN50-AO50</f>
        <v>2</v>
      </c>
      <c r="AQ50">
        <v>0</v>
      </c>
      <c r="AR50">
        <f>AP50-AQ50</f>
        <v>2</v>
      </c>
      <c r="AS50">
        <v>0</v>
      </c>
      <c r="AT50">
        <f>AR50-AS50</f>
        <v>2</v>
      </c>
      <c r="AU50">
        <v>0</v>
      </c>
      <c r="AV50">
        <f>AT50-AU50</f>
        <v>2</v>
      </c>
      <c r="AW50">
        <v>0</v>
      </c>
      <c r="AX50">
        <f>AV50-AW50</f>
        <v>2</v>
      </c>
      <c r="AY50">
        <v>2</v>
      </c>
      <c r="AZ50">
        <f>AX50-AY50</f>
        <v>0</v>
      </c>
      <c r="BB50" s="21">
        <f>AY50+AW50+AU50+AS50+AQ50+AO50+AM50+AK50+AI50+AG50+AE50+AC50+AA50+Y50+W50+U50+S50+Q50+O50+M50+K50</f>
        <v>2</v>
      </c>
      <c r="BC50">
        <f>$BB50*D50</f>
        <v>2</v>
      </c>
      <c r="BD50">
        <f>BB50*F50</f>
        <v>0</v>
      </c>
      <c r="BE50">
        <f>BD50*G50</f>
        <v>0</v>
      </c>
      <c r="BF50" s="21">
        <f>$BB50*E50</f>
        <v>0</v>
      </c>
      <c r="BG50" s="21">
        <f>$BB50*H50</f>
        <v>0</v>
      </c>
    </row>
    <row r="51" spans="1:59" ht="26.45">
      <c r="A51" s="44"/>
      <c r="B51" s="8"/>
      <c r="C51" s="35" t="s">
        <v>51</v>
      </c>
      <c r="D51" s="14">
        <v>0</v>
      </c>
      <c r="E51" s="14">
        <v>0</v>
      </c>
      <c r="F51" s="14">
        <v>1</v>
      </c>
      <c r="G51" s="14">
        <v>0</v>
      </c>
      <c r="H51" s="14">
        <v>0</v>
      </c>
      <c r="I51">
        <v>5</v>
      </c>
      <c r="J51">
        <f>I51</f>
        <v>5</v>
      </c>
      <c r="K51">
        <v>0</v>
      </c>
      <c r="L51">
        <f>J51-K51</f>
        <v>5</v>
      </c>
      <c r="M51">
        <v>0</v>
      </c>
      <c r="N51">
        <f>L51-M51</f>
        <v>5</v>
      </c>
      <c r="O51">
        <v>0</v>
      </c>
      <c r="P51">
        <f>N51-O51</f>
        <v>5</v>
      </c>
      <c r="Q51">
        <v>0</v>
      </c>
      <c r="R51">
        <f>P51-Q51</f>
        <v>5</v>
      </c>
      <c r="S51">
        <v>0</v>
      </c>
      <c r="T51">
        <f>R51-S51</f>
        <v>5</v>
      </c>
      <c r="U51">
        <v>0</v>
      </c>
      <c r="V51">
        <f>T51-U51</f>
        <v>5</v>
      </c>
      <c r="W51">
        <v>0</v>
      </c>
      <c r="X51">
        <f>V51-W51</f>
        <v>5</v>
      </c>
      <c r="Y51">
        <v>0</v>
      </c>
      <c r="Z51">
        <f>X51-Y51</f>
        <v>5</v>
      </c>
      <c r="AA51">
        <v>0</v>
      </c>
      <c r="AB51">
        <f>Z51-AA51</f>
        <v>5</v>
      </c>
      <c r="AC51">
        <v>0</v>
      </c>
      <c r="AD51">
        <f>AB51-AC51</f>
        <v>5</v>
      </c>
      <c r="AE51">
        <v>0</v>
      </c>
      <c r="AF51">
        <f>AD51-AE51</f>
        <v>5</v>
      </c>
      <c r="AG51">
        <v>0</v>
      </c>
      <c r="AH51">
        <f>AF51-AG51</f>
        <v>5</v>
      </c>
      <c r="AI51">
        <v>0</v>
      </c>
      <c r="AJ51">
        <f>AH51-AI51</f>
        <v>5</v>
      </c>
      <c r="AK51">
        <v>0</v>
      </c>
      <c r="AL51">
        <f>AJ51-AK51</f>
        <v>5</v>
      </c>
      <c r="AM51">
        <v>0</v>
      </c>
      <c r="AN51">
        <f>AL51-AM51</f>
        <v>5</v>
      </c>
      <c r="AO51">
        <v>0</v>
      </c>
      <c r="AP51">
        <f>AN51-AO51</f>
        <v>5</v>
      </c>
      <c r="AQ51">
        <v>0</v>
      </c>
      <c r="AR51">
        <f>AP51-AQ51</f>
        <v>5</v>
      </c>
      <c r="AS51">
        <v>0</v>
      </c>
      <c r="AT51">
        <f>AR51-AS51</f>
        <v>5</v>
      </c>
      <c r="AU51">
        <v>0</v>
      </c>
      <c r="AV51">
        <f>AT51-AU51</f>
        <v>5</v>
      </c>
      <c r="AW51">
        <v>3</v>
      </c>
      <c r="AX51">
        <f>AV51-AW51</f>
        <v>2</v>
      </c>
      <c r="AY51">
        <v>2</v>
      </c>
      <c r="AZ51" s="8">
        <f t="shared" si="29"/>
        <v>0</v>
      </c>
      <c r="BB51" s="21">
        <f>AY51+AW51+AU51+AS51+AQ51+AO51+AM51+AK51+AI51+AG51+AE51+AC51+AA51+Y51+W51+U51+S51+Q51+O51+M51+K51</f>
        <v>5</v>
      </c>
      <c r="BC51">
        <f>$BB51*D51</f>
        <v>0</v>
      </c>
      <c r="BD51">
        <f>BB51*F51</f>
        <v>5</v>
      </c>
      <c r="BE51">
        <f>BD51*G51</f>
        <v>0</v>
      </c>
      <c r="BF51" s="21">
        <f>$BB51*E51</f>
        <v>0</v>
      </c>
      <c r="BG51" s="21">
        <f>$BB51*H51</f>
        <v>0</v>
      </c>
    </row>
    <row r="52" spans="1:59">
      <c r="A52" s="44"/>
      <c r="B52" s="9">
        <v>11</v>
      </c>
      <c r="C52" s="38" t="s">
        <v>52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</row>
    <row r="53" spans="1:59">
      <c r="A53" s="44"/>
      <c r="B53" s="8"/>
      <c r="C53" s="35" t="s">
        <v>53</v>
      </c>
      <c r="D53" s="14">
        <v>0</v>
      </c>
      <c r="E53" s="14">
        <v>0</v>
      </c>
      <c r="F53" s="14">
        <v>1</v>
      </c>
      <c r="G53" s="14">
        <v>0</v>
      </c>
      <c r="H53" s="14">
        <v>0</v>
      </c>
      <c r="I53" s="28">
        <v>8</v>
      </c>
      <c r="J53">
        <f t="shared" si="37"/>
        <v>8</v>
      </c>
      <c r="K53">
        <v>0</v>
      </c>
      <c r="L53">
        <f t="shared" si="4"/>
        <v>8</v>
      </c>
      <c r="M53">
        <v>0</v>
      </c>
      <c r="N53">
        <f t="shared" ref="N53:N54" si="41">L53-M53</f>
        <v>8</v>
      </c>
      <c r="O53">
        <v>0</v>
      </c>
      <c r="P53">
        <f t="shared" si="12"/>
        <v>8</v>
      </c>
      <c r="Q53">
        <v>0</v>
      </c>
      <c r="R53">
        <f t="shared" si="13"/>
        <v>8</v>
      </c>
      <c r="S53">
        <v>0</v>
      </c>
      <c r="T53">
        <f t="shared" si="14"/>
        <v>8</v>
      </c>
      <c r="U53">
        <v>0</v>
      </c>
      <c r="V53">
        <f t="shared" si="15"/>
        <v>8</v>
      </c>
      <c r="W53">
        <v>0</v>
      </c>
      <c r="X53">
        <f t="shared" si="16"/>
        <v>8</v>
      </c>
      <c r="Y53">
        <v>0</v>
      </c>
      <c r="Z53">
        <f t="shared" si="17"/>
        <v>8</v>
      </c>
      <c r="AA53">
        <v>0</v>
      </c>
      <c r="AB53">
        <f t="shared" si="18"/>
        <v>8</v>
      </c>
      <c r="AC53">
        <v>0</v>
      </c>
      <c r="AD53">
        <f t="shared" si="19"/>
        <v>8</v>
      </c>
      <c r="AE53">
        <v>0</v>
      </c>
      <c r="AF53">
        <f t="shared" si="20"/>
        <v>8</v>
      </c>
      <c r="AG53">
        <v>0</v>
      </c>
      <c r="AH53">
        <f t="shared" si="21"/>
        <v>8</v>
      </c>
      <c r="AI53">
        <v>0</v>
      </c>
      <c r="AJ53">
        <f t="shared" si="22"/>
        <v>8</v>
      </c>
      <c r="AK53">
        <v>0</v>
      </c>
      <c r="AL53">
        <f t="shared" si="23"/>
        <v>8</v>
      </c>
      <c r="AM53">
        <v>3</v>
      </c>
      <c r="AN53">
        <f t="shared" si="24"/>
        <v>5</v>
      </c>
      <c r="AO53">
        <v>3</v>
      </c>
      <c r="AP53">
        <f>AN53-AO53</f>
        <v>2</v>
      </c>
      <c r="AQ53">
        <v>0</v>
      </c>
      <c r="AR53">
        <f t="shared" si="26"/>
        <v>2</v>
      </c>
      <c r="AS53">
        <v>0</v>
      </c>
      <c r="AT53">
        <f t="shared" si="27"/>
        <v>2</v>
      </c>
      <c r="AU53">
        <v>0</v>
      </c>
      <c r="AV53">
        <f t="shared" si="34"/>
        <v>2</v>
      </c>
      <c r="AW53">
        <v>0</v>
      </c>
      <c r="AX53">
        <f t="shared" si="28"/>
        <v>2</v>
      </c>
      <c r="AY53">
        <v>0</v>
      </c>
      <c r="AZ53" s="8">
        <f t="shared" si="29"/>
        <v>2</v>
      </c>
      <c r="BB53" s="21">
        <f t="shared" si="30"/>
        <v>6</v>
      </c>
      <c r="BC53">
        <f t="shared" si="35"/>
        <v>0</v>
      </c>
      <c r="BD53">
        <f>BB53*F53</f>
        <v>6</v>
      </c>
      <c r="BE53">
        <f t="shared" ref="BE53:BE55" si="42">BD53*G53</f>
        <v>0</v>
      </c>
      <c r="BF53" s="21">
        <f t="shared" si="36"/>
        <v>0</v>
      </c>
      <c r="BG53" s="21">
        <f t="shared" si="38"/>
        <v>0</v>
      </c>
    </row>
    <row r="54" spans="1:59">
      <c r="A54" s="44"/>
      <c r="B54" s="8"/>
      <c r="C54" s="35" t="s">
        <v>54</v>
      </c>
      <c r="D54" s="14">
        <v>0</v>
      </c>
      <c r="E54" s="14">
        <v>0</v>
      </c>
      <c r="F54" s="14">
        <v>1</v>
      </c>
      <c r="G54" s="14">
        <v>0</v>
      </c>
      <c r="H54" s="14">
        <v>0</v>
      </c>
      <c r="I54" s="28">
        <v>3</v>
      </c>
      <c r="J54">
        <v>1</v>
      </c>
      <c r="K54">
        <v>0</v>
      </c>
      <c r="L54">
        <f t="shared" si="4"/>
        <v>1</v>
      </c>
      <c r="M54">
        <v>0</v>
      </c>
      <c r="N54">
        <f t="shared" si="41"/>
        <v>1</v>
      </c>
      <c r="O54">
        <v>0</v>
      </c>
      <c r="P54">
        <f t="shared" si="12"/>
        <v>1</v>
      </c>
      <c r="Q54">
        <v>0</v>
      </c>
      <c r="R54">
        <f t="shared" si="13"/>
        <v>1</v>
      </c>
      <c r="S54">
        <v>0</v>
      </c>
      <c r="T54">
        <f t="shared" si="14"/>
        <v>1</v>
      </c>
      <c r="U54">
        <v>0</v>
      </c>
      <c r="V54">
        <f t="shared" si="15"/>
        <v>1</v>
      </c>
      <c r="W54">
        <v>0</v>
      </c>
      <c r="X54">
        <f t="shared" si="16"/>
        <v>1</v>
      </c>
      <c r="Y54">
        <v>0</v>
      </c>
      <c r="Z54">
        <f t="shared" si="17"/>
        <v>1</v>
      </c>
      <c r="AA54">
        <v>0</v>
      </c>
      <c r="AB54">
        <f t="shared" si="18"/>
        <v>1</v>
      </c>
      <c r="AC54">
        <v>0</v>
      </c>
      <c r="AD54">
        <f t="shared" si="19"/>
        <v>1</v>
      </c>
      <c r="AE54">
        <v>0</v>
      </c>
      <c r="AF54">
        <f t="shared" si="20"/>
        <v>1</v>
      </c>
      <c r="AG54">
        <v>0</v>
      </c>
      <c r="AH54">
        <f t="shared" si="21"/>
        <v>1</v>
      </c>
      <c r="AI54">
        <v>0</v>
      </c>
      <c r="AJ54">
        <f t="shared" si="22"/>
        <v>1</v>
      </c>
      <c r="AK54">
        <v>0</v>
      </c>
      <c r="AL54">
        <f t="shared" si="23"/>
        <v>1</v>
      </c>
      <c r="AM54">
        <v>0</v>
      </c>
      <c r="AN54">
        <f t="shared" si="24"/>
        <v>1</v>
      </c>
      <c r="AO54">
        <v>0</v>
      </c>
      <c r="AP54">
        <f t="shared" si="25"/>
        <v>1</v>
      </c>
      <c r="AQ54">
        <v>0</v>
      </c>
      <c r="AR54">
        <f t="shared" si="26"/>
        <v>1</v>
      </c>
      <c r="AS54">
        <v>0</v>
      </c>
      <c r="AT54">
        <f t="shared" si="27"/>
        <v>1</v>
      </c>
      <c r="AU54">
        <v>0</v>
      </c>
      <c r="AV54">
        <f t="shared" si="34"/>
        <v>1</v>
      </c>
      <c r="AW54">
        <v>0</v>
      </c>
      <c r="AX54">
        <f t="shared" si="28"/>
        <v>1</v>
      </c>
      <c r="AY54">
        <v>0</v>
      </c>
      <c r="AZ54" s="8">
        <f t="shared" si="29"/>
        <v>1</v>
      </c>
      <c r="BB54" s="21">
        <f t="shared" si="30"/>
        <v>0</v>
      </c>
      <c r="BC54">
        <f t="shared" si="35"/>
        <v>0</v>
      </c>
      <c r="BD54">
        <f>BB54*F54</f>
        <v>0</v>
      </c>
      <c r="BE54">
        <f t="shared" si="42"/>
        <v>0</v>
      </c>
      <c r="BF54" s="21">
        <f t="shared" si="36"/>
        <v>0</v>
      </c>
      <c r="BG54" s="21">
        <f t="shared" si="38"/>
        <v>0</v>
      </c>
    </row>
    <row r="55" spans="1:59">
      <c r="A55" s="44"/>
      <c r="B55" s="8"/>
      <c r="C55" s="52" t="s">
        <v>55</v>
      </c>
      <c r="D55" s="14">
        <v>0</v>
      </c>
      <c r="E55" s="14">
        <v>0</v>
      </c>
      <c r="F55" s="14">
        <v>1</v>
      </c>
      <c r="G55" s="14">
        <v>0</v>
      </c>
      <c r="H55" s="14">
        <v>0</v>
      </c>
      <c r="I55" s="28">
        <v>3</v>
      </c>
      <c r="J55">
        <f>I55</f>
        <v>3</v>
      </c>
      <c r="K55">
        <v>0</v>
      </c>
      <c r="L55">
        <f>J55-K55</f>
        <v>3</v>
      </c>
      <c r="M55">
        <v>0</v>
      </c>
      <c r="N55">
        <f>L55-M55</f>
        <v>3</v>
      </c>
      <c r="O55">
        <v>0</v>
      </c>
      <c r="P55">
        <f t="shared" si="12"/>
        <v>3</v>
      </c>
      <c r="Q55">
        <v>0</v>
      </c>
      <c r="R55">
        <f t="shared" si="13"/>
        <v>3</v>
      </c>
      <c r="S55">
        <v>0</v>
      </c>
      <c r="T55">
        <f t="shared" si="14"/>
        <v>3</v>
      </c>
      <c r="U55">
        <v>0</v>
      </c>
      <c r="V55">
        <f t="shared" si="15"/>
        <v>3</v>
      </c>
      <c r="W55">
        <v>0</v>
      </c>
      <c r="X55">
        <f t="shared" si="16"/>
        <v>3</v>
      </c>
      <c r="Y55">
        <v>0</v>
      </c>
      <c r="Z55">
        <f t="shared" si="17"/>
        <v>3</v>
      </c>
      <c r="AA55">
        <v>0</v>
      </c>
      <c r="AB55">
        <f t="shared" si="18"/>
        <v>3</v>
      </c>
      <c r="AC55">
        <v>0</v>
      </c>
      <c r="AD55">
        <f t="shared" si="19"/>
        <v>3</v>
      </c>
      <c r="AE55">
        <v>0</v>
      </c>
      <c r="AF55">
        <f t="shared" si="20"/>
        <v>3</v>
      </c>
      <c r="AG55">
        <v>0</v>
      </c>
      <c r="AH55">
        <f t="shared" si="21"/>
        <v>3</v>
      </c>
      <c r="AI55">
        <v>0</v>
      </c>
      <c r="AJ55">
        <f t="shared" si="22"/>
        <v>3</v>
      </c>
      <c r="AK55">
        <v>0</v>
      </c>
      <c r="AL55">
        <f t="shared" si="23"/>
        <v>3</v>
      </c>
      <c r="AM55">
        <v>0</v>
      </c>
      <c r="AN55">
        <f t="shared" si="24"/>
        <v>3</v>
      </c>
      <c r="AO55">
        <v>0</v>
      </c>
      <c r="AP55">
        <f t="shared" si="25"/>
        <v>3</v>
      </c>
      <c r="AQ55">
        <v>0</v>
      </c>
      <c r="AR55">
        <f t="shared" si="26"/>
        <v>3</v>
      </c>
      <c r="AS55">
        <v>0</v>
      </c>
      <c r="AT55">
        <f t="shared" si="27"/>
        <v>3</v>
      </c>
      <c r="AU55">
        <v>0</v>
      </c>
      <c r="AV55">
        <f t="shared" si="34"/>
        <v>3</v>
      </c>
      <c r="AW55">
        <v>0</v>
      </c>
      <c r="AX55">
        <f t="shared" si="28"/>
        <v>3</v>
      </c>
      <c r="AY55">
        <v>0</v>
      </c>
      <c r="AZ55" s="8">
        <f t="shared" si="29"/>
        <v>3</v>
      </c>
      <c r="BB55" s="21">
        <f t="shared" si="30"/>
        <v>0</v>
      </c>
      <c r="BC55">
        <f t="shared" si="35"/>
        <v>0</v>
      </c>
      <c r="BD55">
        <f>BB55*F55</f>
        <v>0</v>
      </c>
      <c r="BE55">
        <f t="shared" si="42"/>
        <v>0</v>
      </c>
      <c r="BF55" s="21">
        <f t="shared" si="36"/>
        <v>0</v>
      </c>
      <c r="BG55" s="21">
        <f t="shared" si="38"/>
        <v>0</v>
      </c>
    </row>
    <row r="56" spans="1:59" ht="15.75">
      <c r="A56" s="49" t="s">
        <v>56</v>
      </c>
      <c r="B56" s="9">
        <v>51</v>
      </c>
      <c r="C56" s="38" t="s">
        <v>57</v>
      </c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</row>
    <row r="57" spans="1:59">
      <c r="A57" s="47"/>
      <c r="B57" s="8"/>
      <c r="C57" s="35" t="s">
        <v>58</v>
      </c>
      <c r="D57" s="14">
        <v>1</v>
      </c>
      <c r="E57" s="14">
        <v>0</v>
      </c>
      <c r="F57" s="14">
        <v>0</v>
      </c>
      <c r="G57" s="14">
        <v>0</v>
      </c>
      <c r="H57" s="14">
        <v>0</v>
      </c>
      <c r="I57">
        <v>2</v>
      </c>
      <c r="J57">
        <f>I57</f>
        <v>2</v>
      </c>
      <c r="K57">
        <v>0</v>
      </c>
      <c r="L57">
        <f>J57-K57</f>
        <v>2</v>
      </c>
      <c r="M57">
        <v>0</v>
      </c>
      <c r="N57">
        <f>L57-M57</f>
        <v>2</v>
      </c>
      <c r="O57">
        <v>0</v>
      </c>
      <c r="P57">
        <f t="shared" si="12"/>
        <v>2</v>
      </c>
      <c r="Q57">
        <v>0</v>
      </c>
      <c r="R57">
        <f t="shared" si="13"/>
        <v>2</v>
      </c>
      <c r="S57">
        <v>0</v>
      </c>
      <c r="T57">
        <f t="shared" si="14"/>
        <v>2</v>
      </c>
      <c r="U57">
        <v>0</v>
      </c>
      <c r="V57">
        <f t="shared" si="15"/>
        <v>2</v>
      </c>
      <c r="W57">
        <v>2</v>
      </c>
      <c r="X57">
        <f t="shared" si="16"/>
        <v>0</v>
      </c>
      <c r="Y57">
        <v>0</v>
      </c>
      <c r="Z57">
        <f t="shared" si="17"/>
        <v>0</v>
      </c>
      <c r="AA57">
        <v>0</v>
      </c>
      <c r="AB57">
        <f t="shared" si="18"/>
        <v>0</v>
      </c>
      <c r="AC57">
        <v>0</v>
      </c>
      <c r="AD57">
        <f t="shared" si="19"/>
        <v>0</v>
      </c>
      <c r="AE57">
        <v>0</v>
      </c>
      <c r="AF57">
        <f t="shared" si="20"/>
        <v>0</v>
      </c>
      <c r="AG57">
        <v>0</v>
      </c>
      <c r="AH57">
        <f t="shared" si="21"/>
        <v>0</v>
      </c>
      <c r="AI57">
        <v>0</v>
      </c>
      <c r="AJ57">
        <f t="shared" si="22"/>
        <v>0</v>
      </c>
      <c r="AK57">
        <v>0</v>
      </c>
      <c r="AL57">
        <f t="shared" si="23"/>
        <v>0</v>
      </c>
      <c r="AM57">
        <v>0</v>
      </c>
      <c r="AN57">
        <f t="shared" si="24"/>
        <v>0</v>
      </c>
      <c r="AO57">
        <v>0</v>
      </c>
      <c r="AP57">
        <f t="shared" si="25"/>
        <v>0</v>
      </c>
      <c r="AQ57">
        <v>0</v>
      </c>
      <c r="AR57">
        <f t="shared" si="26"/>
        <v>0</v>
      </c>
      <c r="AS57">
        <v>0</v>
      </c>
      <c r="AT57">
        <f t="shared" si="27"/>
        <v>0</v>
      </c>
      <c r="AU57">
        <v>0</v>
      </c>
      <c r="AV57">
        <f t="shared" si="34"/>
        <v>0</v>
      </c>
      <c r="AW57">
        <v>0</v>
      </c>
      <c r="AX57">
        <f t="shared" si="28"/>
        <v>0</v>
      </c>
      <c r="AY57">
        <v>0</v>
      </c>
      <c r="AZ57" s="8">
        <f t="shared" si="29"/>
        <v>0</v>
      </c>
      <c r="BB57" s="21">
        <f t="shared" si="30"/>
        <v>2</v>
      </c>
      <c r="BC57">
        <f>$BB57*D57</f>
        <v>2</v>
      </c>
      <c r="BD57">
        <f t="shared" ref="BD57:BE58" si="43">BC57*F57</f>
        <v>0</v>
      </c>
      <c r="BE57">
        <f t="shared" si="43"/>
        <v>0</v>
      </c>
      <c r="BF57" s="21">
        <f t="shared" si="36"/>
        <v>0</v>
      </c>
      <c r="BG57" s="21">
        <f t="shared" si="38"/>
        <v>0</v>
      </c>
    </row>
    <row r="58" spans="1:59">
      <c r="A58" s="47"/>
      <c r="B58" s="8"/>
      <c r="C58" s="35" t="s">
        <v>59</v>
      </c>
      <c r="D58" s="14">
        <v>1</v>
      </c>
      <c r="E58" s="14">
        <v>0</v>
      </c>
      <c r="F58" s="14">
        <v>0</v>
      </c>
      <c r="G58" s="14">
        <v>0</v>
      </c>
      <c r="H58" s="14">
        <v>0</v>
      </c>
      <c r="I58">
        <v>2</v>
      </c>
      <c r="J58">
        <f>I58</f>
        <v>2</v>
      </c>
      <c r="L58">
        <f>J58-K58</f>
        <v>2</v>
      </c>
      <c r="N58">
        <f>L58-M58</f>
        <v>2</v>
      </c>
      <c r="P58">
        <f t="shared" si="12"/>
        <v>2</v>
      </c>
      <c r="R58">
        <f t="shared" si="13"/>
        <v>2</v>
      </c>
      <c r="T58">
        <f t="shared" si="14"/>
        <v>2</v>
      </c>
      <c r="V58">
        <f t="shared" si="15"/>
        <v>2</v>
      </c>
      <c r="X58">
        <f t="shared" si="16"/>
        <v>2</v>
      </c>
      <c r="Z58">
        <f t="shared" si="17"/>
        <v>2</v>
      </c>
      <c r="AB58">
        <f t="shared" si="18"/>
        <v>2</v>
      </c>
      <c r="AD58">
        <f t="shared" si="19"/>
        <v>2</v>
      </c>
      <c r="AF58">
        <f t="shared" si="20"/>
        <v>2</v>
      </c>
      <c r="AH58">
        <f t="shared" si="21"/>
        <v>2</v>
      </c>
      <c r="AJ58">
        <f t="shared" si="22"/>
        <v>2</v>
      </c>
      <c r="AL58">
        <f t="shared" si="23"/>
        <v>2</v>
      </c>
      <c r="AN58">
        <f t="shared" si="24"/>
        <v>2</v>
      </c>
      <c r="AP58">
        <f t="shared" si="25"/>
        <v>2</v>
      </c>
      <c r="AR58">
        <f t="shared" si="26"/>
        <v>2</v>
      </c>
      <c r="AT58">
        <f t="shared" si="27"/>
        <v>2</v>
      </c>
      <c r="AV58">
        <f t="shared" si="34"/>
        <v>2</v>
      </c>
      <c r="AX58">
        <f t="shared" si="28"/>
        <v>2</v>
      </c>
      <c r="AZ58" s="8">
        <f t="shared" si="29"/>
        <v>2</v>
      </c>
      <c r="BB58" s="21">
        <f t="shared" si="30"/>
        <v>0</v>
      </c>
      <c r="BC58">
        <f t="shared" si="35"/>
        <v>0</v>
      </c>
      <c r="BD58">
        <f t="shared" si="43"/>
        <v>0</v>
      </c>
      <c r="BE58">
        <f t="shared" si="43"/>
        <v>0</v>
      </c>
      <c r="BF58" s="21">
        <f t="shared" si="36"/>
        <v>0</v>
      </c>
      <c r="BG58" s="21">
        <f t="shared" si="38"/>
        <v>0</v>
      </c>
    </row>
    <row r="59" spans="1:59">
      <c r="A59" s="47"/>
      <c r="B59" s="9">
        <v>52</v>
      </c>
      <c r="C59" s="38" t="s">
        <v>60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</row>
    <row r="60" spans="1:59">
      <c r="A60" s="47"/>
      <c r="B60" s="8"/>
      <c r="C60" s="35" t="s">
        <v>61</v>
      </c>
      <c r="D60" s="14">
        <v>1</v>
      </c>
      <c r="E60" s="14">
        <v>0</v>
      </c>
      <c r="F60" s="14">
        <v>0</v>
      </c>
      <c r="G60" s="14">
        <v>0</v>
      </c>
      <c r="H60" s="14">
        <v>0</v>
      </c>
      <c r="I60">
        <v>6</v>
      </c>
      <c r="J60">
        <f>I60</f>
        <v>6</v>
      </c>
      <c r="L60">
        <f>J60-K60</f>
        <v>6</v>
      </c>
      <c r="N60">
        <f>L60-M60</f>
        <v>6</v>
      </c>
      <c r="P60">
        <f t="shared" si="12"/>
        <v>6</v>
      </c>
      <c r="R60">
        <f t="shared" si="13"/>
        <v>6</v>
      </c>
      <c r="T60">
        <f t="shared" si="14"/>
        <v>6</v>
      </c>
      <c r="V60">
        <f t="shared" si="15"/>
        <v>6</v>
      </c>
      <c r="X60">
        <f t="shared" si="16"/>
        <v>6</v>
      </c>
      <c r="Z60">
        <f t="shared" si="17"/>
        <v>6</v>
      </c>
      <c r="AB60">
        <f t="shared" si="18"/>
        <v>6</v>
      </c>
      <c r="AD60">
        <f t="shared" si="19"/>
        <v>6</v>
      </c>
      <c r="AF60">
        <f t="shared" si="20"/>
        <v>6</v>
      </c>
      <c r="AH60">
        <f t="shared" si="21"/>
        <v>6</v>
      </c>
      <c r="AJ60">
        <f t="shared" si="22"/>
        <v>6</v>
      </c>
      <c r="AL60">
        <f t="shared" si="23"/>
        <v>6</v>
      </c>
      <c r="AN60">
        <f t="shared" si="24"/>
        <v>6</v>
      </c>
      <c r="AP60">
        <f t="shared" si="25"/>
        <v>6</v>
      </c>
      <c r="AR60">
        <f t="shared" si="26"/>
        <v>6</v>
      </c>
      <c r="AT60">
        <f t="shared" si="27"/>
        <v>6</v>
      </c>
      <c r="AV60">
        <f t="shared" si="34"/>
        <v>6</v>
      </c>
      <c r="AX60">
        <f t="shared" si="28"/>
        <v>6</v>
      </c>
      <c r="AZ60" s="8">
        <f t="shared" si="29"/>
        <v>6</v>
      </c>
      <c r="BB60" s="21">
        <f t="shared" si="30"/>
        <v>0</v>
      </c>
      <c r="BC60">
        <f t="shared" si="35"/>
        <v>0</v>
      </c>
      <c r="BD60">
        <f t="shared" ref="BD60:BE61" si="44">BC60*F60</f>
        <v>0</v>
      </c>
      <c r="BE60">
        <f t="shared" si="44"/>
        <v>0</v>
      </c>
      <c r="BF60" s="21">
        <f t="shared" si="36"/>
        <v>0</v>
      </c>
      <c r="BG60" s="21">
        <f t="shared" si="38"/>
        <v>0</v>
      </c>
    </row>
    <row r="61" spans="1:59">
      <c r="A61" s="47"/>
      <c r="B61" s="8"/>
      <c r="C61" s="35" t="s">
        <v>62</v>
      </c>
      <c r="D61" s="14">
        <v>1</v>
      </c>
      <c r="E61" s="14">
        <v>0</v>
      </c>
      <c r="F61" s="14">
        <v>0</v>
      </c>
      <c r="G61" s="14">
        <v>0</v>
      </c>
      <c r="H61" s="14">
        <v>0</v>
      </c>
      <c r="I61">
        <v>4</v>
      </c>
      <c r="J61">
        <f>I61</f>
        <v>4</v>
      </c>
      <c r="L61">
        <f>J61-K61</f>
        <v>4</v>
      </c>
      <c r="N61">
        <f>L61-M61</f>
        <v>4</v>
      </c>
      <c r="P61">
        <f t="shared" si="12"/>
        <v>4</v>
      </c>
      <c r="R61">
        <f t="shared" si="13"/>
        <v>4</v>
      </c>
      <c r="T61">
        <f t="shared" si="14"/>
        <v>4</v>
      </c>
      <c r="V61">
        <f t="shared" si="15"/>
        <v>4</v>
      </c>
      <c r="X61">
        <f t="shared" si="16"/>
        <v>4</v>
      </c>
      <c r="Z61">
        <f t="shared" si="17"/>
        <v>4</v>
      </c>
      <c r="AB61">
        <f t="shared" si="18"/>
        <v>4</v>
      </c>
      <c r="AD61">
        <f t="shared" si="19"/>
        <v>4</v>
      </c>
      <c r="AF61">
        <f t="shared" si="20"/>
        <v>4</v>
      </c>
      <c r="AH61">
        <f t="shared" si="21"/>
        <v>4</v>
      </c>
      <c r="AJ61">
        <f t="shared" si="22"/>
        <v>4</v>
      </c>
      <c r="AL61">
        <f t="shared" si="23"/>
        <v>4</v>
      </c>
      <c r="AN61">
        <f t="shared" si="24"/>
        <v>4</v>
      </c>
      <c r="AP61">
        <f t="shared" si="25"/>
        <v>4</v>
      </c>
      <c r="AR61">
        <f t="shared" si="26"/>
        <v>4</v>
      </c>
      <c r="AT61">
        <f t="shared" si="27"/>
        <v>4</v>
      </c>
      <c r="AV61">
        <f t="shared" si="34"/>
        <v>4</v>
      </c>
      <c r="AX61">
        <f t="shared" si="28"/>
        <v>4</v>
      </c>
      <c r="AZ61" s="8">
        <f t="shared" si="29"/>
        <v>4</v>
      </c>
      <c r="BB61" s="21">
        <f t="shared" si="30"/>
        <v>0</v>
      </c>
      <c r="BC61">
        <f t="shared" si="35"/>
        <v>0</v>
      </c>
      <c r="BD61">
        <f t="shared" si="44"/>
        <v>0</v>
      </c>
      <c r="BE61">
        <f t="shared" si="44"/>
        <v>0</v>
      </c>
      <c r="BF61" s="21">
        <f t="shared" si="36"/>
        <v>0</v>
      </c>
      <c r="BG61" s="21">
        <f t="shared" si="38"/>
        <v>0</v>
      </c>
    </row>
    <row r="62" spans="1:59" ht="24.75" customHeight="1">
      <c r="A62" s="47"/>
      <c r="B62" s="9">
        <v>53</v>
      </c>
      <c r="C62" s="38" t="s">
        <v>63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</row>
    <row r="63" spans="1:59">
      <c r="A63" s="47"/>
      <c r="B63" s="8"/>
      <c r="C63" s="35" t="s">
        <v>64</v>
      </c>
      <c r="D63" s="14">
        <v>0</v>
      </c>
      <c r="E63" s="14">
        <v>0</v>
      </c>
      <c r="F63" s="14">
        <v>0</v>
      </c>
      <c r="G63" s="14">
        <v>0</v>
      </c>
      <c r="H63" s="14">
        <v>1</v>
      </c>
      <c r="I63">
        <v>2</v>
      </c>
      <c r="J63">
        <f t="shared" ref="J63:J66" si="45">I63</f>
        <v>2</v>
      </c>
      <c r="L63">
        <f t="shared" ref="L63:L66" si="46">J63-K63</f>
        <v>2</v>
      </c>
      <c r="N63">
        <f t="shared" ref="N63:N66" si="47">L63-M63</f>
        <v>2</v>
      </c>
      <c r="P63">
        <f t="shared" ref="P63:P66" si="48">N63-O63</f>
        <v>2</v>
      </c>
      <c r="R63">
        <f t="shared" ref="R63:R66" si="49">P63-Q63</f>
        <v>2</v>
      </c>
      <c r="T63">
        <f t="shared" ref="T63:T66" si="50">R63-S63</f>
        <v>2</v>
      </c>
      <c r="V63">
        <f t="shared" ref="V63:V66" si="51">T63-U63</f>
        <v>2</v>
      </c>
      <c r="X63">
        <f t="shared" ref="X63:X66" si="52">V63-W63</f>
        <v>2</v>
      </c>
      <c r="Z63">
        <f t="shared" ref="Z63:Z66" si="53">X63-Y63</f>
        <v>2</v>
      </c>
      <c r="AB63">
        <f t="shared" ref="AB63:AB66" si="54">Z63-AA63</f>
        <v>2</v>
      </c>
      <c r="AD63">
        <f t="shared" ref="AD63:AD66" si="55">AB63-AC63</f>
        <v>2</v>
      </c>
      <c r="AF63">
        <f t="shared" ref="AF63:AF66" si="56">AD63-AE63</f>
        <v>2</v>
      </c>
      <c r="AH63">
        <f t="shared" ref="AH63:AH66" si="57">AF63-AG63</f>
        <v>2</v>
      </c>
      <c r="AJ63">
        <f t="shared" ref="AJ63:AJ66" si="58">AH63-AI63</f>
        <v>2</v>
      </c>
      <c r="AL63">
        <f t="shared" ref="AL63:AL66" si="59">AJ63-AK63</f>
        <v>2</v>
      </c>
      <c r="AN63">
        <f t="shared" ref="AN63:AN66" si="60">AL63-AM63</f>
        <v>2</v>
      </c>
      <c r="AP63">
        <f t="shared" ref="AP63:AP66" si="61">AN63-AO63</f>
        <v>2</v>
      </c>
      <c r="AR63">
        <f t="shared" ref="AR63:AR66" si="62">AP63-AQ63</f>
        <v>2</v>
      </c>
      <c r="AT63">
        <f t="shared" ref="AT63:AT66" si="63">AR63-AS63</f>
        <v>2</v>
      </c>
      <c r="AV63">
        <f t="shared" ref="AV63:AV66" si="64">AT63-AU63</f>
        <v>2</v>
      </c>
      <c r="AX63">
        <f t="shared" ref="AX63:AX66" si="65">AV63-AW63</f>
        <v>2</v>
      </c>
      <c r="AZ63" s="8">
        <f t="shared" ref="AZ63:AZ66" si="66">AX63-AY63</f>
        <v>2</v>
      </c>
      <c r="BB63" s="21">
        <f t="shared" ref="BB63:BB66" si="67">AY63+AW63+AU63+AS63+AQ63+AO63+AM63+AK63+AI63+AG63+AE63+AC63+AA63+Y63+W63+U63+S63+Q63+O63+M63+K63</f>
        <v>0</v>
      </c>
      <c r="BC63">
        <f t="shared" ref="BC63:BC66" si="68">$BB63*D63</f>
        <v>0</v>
      </c>
      <c r="BD63">
        <f t="shared" ref="BD63:BE66" si="69">BC63*F63</f>
        <v>0</v>
      </c>
      <c r="BE63">
        <f t="shared" si="69"/>
        <v>0</v>
      </c>
      <c r="BF63" s="21">
        <f t="shared" ref="BF63:BF66" si="70">$BB63*E63</f>
        <v>0</v>
      </c>
      <c r="BG63" s="21">
        <f>$BB63*H63</f>
        <v>0</v>
      </c>
    </row>
    <row r="64" spans="1:59">
      <c r="A64" s="47"/>
      <c r="B64" s="8"/>
      <c r="C64" s="35" t="s">
        <v>65</v>
      </c>
      <c r="D64" s="14">
        <v>0</v>
      </c>
      <c r="E64" s="14">
        <v>0</v>
      </c>
      <c r="F64" s="14">
        <v>0</v>
      </c>
      <c r="G64" s="14">
        <v>0</v>
      </c>
      <c r="H64" s="14">
        <v>1</v>
      </c>
      <c r="I64">
        <v>2</v>
      </c>
      <c r="J64">
        <f t="shared" si="45"/>
        <v>2</v>
      </c>
      <c r="L64">
        <f t="shared" si="46"/>
        <v>2</v>
      </c>
      <c r="N64">
        <f t="shared" si="47"/>
        <v>2</v>
      </c>
      <c r="P64">
        <f t="shared" si="48"/>
        <v>2</v>
      </c>
      <c r="R64">
        <f t="shared" si="49"/>
        <v>2</v>
      </c>
      <c r="T64">
        <f t="shared" si="50"/>
        <v>2</v>
      </c>
      <c r="V64">
        <f t="shared" si="51"/>
        <v>2</v>
      </c>
      <c r="X64">
        <f t="shared" si="52"/>
        <v>2</v>
      </c>
      <c r="Z64">
        <f t="shared" si="53"/>
        <v>2</v>
      </c>
      <c r="AB64">
        <f t="shared" si="54"/>
        <v>2</v>
      </c>
      <c r="AD64">
        <f t="shared" si="55"/>
        <v>2</v>
      </c>
      <c r="AF64">
        <f t="shared" si="56"/>
        <v>2</v>
      </c>
      <c r="AH64">
        <f t="shared" si="57"/>
        <v>2</v>
      </c>
      <c r="AJ64">
        <f t="shared" si="58"/>
        <v>2</v>
      </c>
      <c r="AL64">
        <f t="shared" si="59"/>
        <v>2</v>
      </c>
      <c r="AN64">
        <f t="shared" si="60"/>
        <v>2</v>
      </c>
      <c r="AP64">
        <f t="shared" si="61"/>
        <v>2</v>
      </c>
      <c r="AR64">
        <f t="shared" si="62"/>
        <v>2</v>
      </c>
      <c r="AT64">
        <f t="shared" si="63"/>
        <v>2</v>
      </c>
      <c r="AV64">
        <f t="shared" si="64"/>
        <v>2</v>
      </c>
      <c r="AX64">
        <f t="shared" si="65"/>
        <v>2</v>
      </c>
      <c r="AZ64" s="8">
        <f t="shared" si="66"/>
        <v>2</v>
      </c>
      <c r="BB64" s="21">
        <f t="shared" si="67"/>
        <v>0</v>
      </c>
      <c r="BC64">
        <f t="shared" si="68"/>
        <v>0</v>
      </c>
      <c r="BD64">
        <f t="shared" si="69"/>
        <v>0</v>
      </c>
      <c r="BE64">
        <f t="shared" si="69"/>
        <v>0</v>
      </c>
      <c r="BF64" s="21">
        <f t="shared" si="70"/>
        <v>0</v>
      </c>
      <c r="BG64" s="21">
        <f t="shared" ref="BG64:BG66" si="71">$BB64*H64</f>
        <v>0</v>
      </c>
    </row>
    <row r="65" spans="1:59">
      <c r="A65" s="47"/>
      <c r="B65" s="8"/>
      <c r="C65" s="35" t="s">
        <v>66</v>
      </c>
      <c r="D65" s="14">
        <v>0</v>
      </c>
      <c r="E65" s="14">
        <v>0</v>
      </c>
      <c r="F65" s="14">
        <v>0</v>
      </c>
      <c r="G65" s="14">
        <v>0</v>
      </c>
      <c r="H65" s="14">
        <v>1</v>
      </c>
      <c r="I65">
        <v>2</v>
      </c>
      <c r="J65">
        <f t="shared" si="45"/>
        <v>2</v>
      </c>
      <c r="L65">
        <f t="shared" si="46"/>
        <v>2</v>
      </c>
      <c r="N65">
        <f t="shared" si="47"/>
        <v>2</v>
      </c>
      <c r="P65">
        <f t="shared" si="48"/>
        <v>2</v>
      </c>
      <c r="R65">
        <f t="shared" si="49"/>
        <v>2</v>
      </c>
      <c r="T65">
        <f t="shared" si="50"/>
        <v>2</v>
      </c>
      <c r="V65">
        <f t="shared" si="51"/>
        <v>2</v>
      </c>
      <c r="X65">
        <f t="shared" si="52"/>
        <v>2</v>
      </c>
      <c r="Z65">
        <f t="shared" si="53"/>
        <v>2</v>
      </c>
      <c r="AB65">
        <f t="shared" si="54"/>
        <v>2</v>
      </c>
      <c r="AD65">
        <f t="shared" si="55"/>
        <v>2</v>
      </c>
      <c r="AF65">
        <f t="shared" si="56"/>
        <v>2</v>
      </c>
      <c r="AH65">
        <f t="shared" si="57"/>
        <v>2</v>
      </c>
      <c r="AJ65">
        <f t="shared" si="58"/>
        <v>2</v>
      </c>
      <c r="AL65">
        <f t="shared" si="59"/>
        <v>2</v>
      </c>
      <c r="AN65">
        <f t="shared" si="60"/>
        <v>2</v>
      </c>
      <c r="AP65">
        <f t="shared" si="61"/>
        <v>2</v>
      </c>
      <c r="AR65">
        <f t="shared" si="62"/>
        <v>2</v>
      </c>
      <c r="AT65">
        <f t="shared" si="63"/>
        <v>2</v>
      </c>
      <c r="AV65">
        <f t="shared" si="64"/>
        <v>2</v>
      </c>
      <c r="AX65">
        <f t="shared" si="65"/>
        <v>2</v>
      </c>
      <c r="AZ65" s="8">
        <f t="shared" si="66"/>
        <v>2</v>
      </c>
      <c r="BB65" s="21">
        <f t="shared" si="67"/>
        <v>0</v>
      </c>
      <c r="BC65">
        <f t="shared" si="68"/>
        <v>0</v>
      </c>
      <c r="BD65">
        <f t="shared" si="69"/>
        <v>0</v>
      </c>
      <c r="BE65">
        <f t="shared" si="69"/>
        <v>0</v>
      </c>
      <c r="BF65" s="21">
        <f t="shared" si="70"/>
        <v>0</v>
      </c>
      <c r="BG65" s="21">
        <f t="shared" si="71"/>
        <v>0</v>
      </c>
    </row>
    <row r="66" spans="1:59">
      <c r="A66" s="47"/>
      <c r="B66" s="8"/>
      <c r="C66" s="35" t="s">
        <v>67</v>
      </c>
      <c r="D66" s="14">
        <v>0</v>
      </c>
      <c r="E66" s="14">
        <v>0</v>
      </c>
      <c r="F66" s="14">
        <v>0</v>
      </c>
      <c r="G66" s="14">
        <v>0</v>
      </c>
      <c r="H66" s="14">
        <v>1</v>
      </c>
      <c r="I66">
        <v>4</v>
      </c>
      <c r="J66">
        <f t="shared" si="45"/>
        <v>4</v>
      </c>
      <c r="L66">
        <f t="shared" si="46"/>
        <v>4</v>
      </c>
      <c r="N66">
        <f t="shared" si="47"/>
        <v>4</v>
      </c>
      <c r="P66">
        <f t="shared" si="48"/>
        <v>4</v>
      </c>
      <c r="R66">
        <f t="shared" si="49"/>
        <v>4</v>
      </c>
      <c r="T66">
        <f t="shared" si="50"/>
        <v>4</v>
      </c>
      <c r="V66">
        <f t="shared" si="51"/>
        <v>4</v>
      </c>
      <c r="X66">
        <f t="shared" si="52"/>
        <v>4</v>
      </c>
      <c r="Z66">
        <f t="shared" si="53"/>
        <v>4</v>
      </c>
      <c r="AB66">
        <f t="shared" si="54"/>
        <v>4</v>
      </c>
      <c r="AD66">
        <f t="shared" si="55"/>
        <v>4</v>
      </c>
      <c r="AF66">
        <f t="shared" si="56"/>
        <v>4</v>
      </c>
      <c r="AH66">
        <f t="shared" si="57"/>
        <v>4</v>
      </c>
      <c r="AJ66">
        <f t="shared" si="58"/>
        <v>4</v>
      </c>
      <c r="AL66">
        <f t="shared" si="59"/>
        <v>4</v>
      </c>
      <c r="AN66">
        <f t="shared" si="60"/>
        <v>4</v>
      </c>
      <c r="AP66">
        <f t="shared" si="61"/>
        <v>4</v>
      </c>
      <c r="AR66">
        <f t="shared" si="62"/>
        <v>4</v>
      </c>
      <c r="AT66">
        <f t="shared" si="63"/>
        <v>4</v>
      </c>
      <c r="AV66">
        <f t="shared" si="64"/>
        <v>4</v>
      </c>
      <c r="AX66">
        <f t="shared" si="65"/>
        <v>4</v>
      </c>
      <c r="AZ66" s="8">
        <f t="shared" si="66"/>
        <v>4</v>
      </c>
      <c r="BB66" s="21">
        <f t="shared" si="67"/>
        <v>0</v>
      </c>
      <c r="BC66">
        <f t="shared" si="68"/>
        <v>0</v>
      </c>
      <c r="BD66">
        <f t="shared" si="69"/>
        <v>0</v>
      </c>
      <c r="BE66">
        <f t="shared" si="69"/>
        <v>0</v>
      </c>
      <c r="BF66" s="21">
        <f t="shared" si="70"/>
        <v>0</v>
      </c>
      <c r="BG66" s="21">
        <f t="shared" si="71"/>
        <v>0</v>
      </c>
    </row>
    <row r="67" spans="1:59">
      <c r="A67" s="47"/>
      <c r="B67" s="9">
        <v>54</v>
      </c>
      <c r="C67" s="38" t="s">
        <v>68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</row>
    <row r="68" spans="1:59">
      <c r="A68" s="47"/>
      <c r="B68" s="8"/>
      <c r="C68" s="35" t="s">
        <v>69</v>
      </c>
      <c r="D68" s="14">
        <v>0</v>
      </c>
      <c r="E68" s="14">
        <v>1</v>
      </c>
      <c r="F68" s="14">
        <v>0</v>
      </c>
      <c r="G68" s="14">
        <v>0</v>
      </c>
      <c r="H68" s="14">
        <v>0</v>
      </c>
      <c r="I68">
        <v>9</v>
      </c>
      <c r="J68">
        <f>I68</f>
        <v>9</v>
      </c>
      <c r="K68">
        <v>0</v>
      </c>
      <c r="L68">
        <f>J68-K68</f>
        <v>9</v>
      </c>
      <c r="M68">
        <v>0</v>
      </c>
      <c r="N68">
        <f>L68-M68</f>
        <v>9</v>
      </c>
      <c r="O68">
        <v>0</v>
      </c>
      <c r="P68">
        <f>N68-O68</f>
        <v>9</v>
      </c>
      <c r="Q68">
        <v>0</v>
      </c>
      <c r="R68">
        <f>P68-Q68</f>
        <v>9</v>
      </c>
      <c r="S68">
        <v>0</v>
      </c>
      <c r="T68">
        <f>R68-S68</f>
        <v>9</v>
      </c>
      <c r="U68">
        <v>0</v>
      </c>
      <c r="V68">
        <f>T68-U68</f>
        <v>9</v>
      </c>
      <c r="W68">
        <v>0</v>
      </c>
      <c r="X68">
        <f>V68-W68</f>
        <v>9</v>
      </c>
      <c r="Y68">
        <v>0</v>
      </c>
      <c r="Z68">
        <f>X68-Y68</f>
        <v>9</v>
      </c>
      <c r="AA68">
        <v>3</v>
      </c>
      <c r="AB68">
        <f>Z68-AA68</f>
        <v>6</v>
      </c>
      <c r="AC68">
        <v>2</v>
      </c>
      <c r="AD68">
        <f>AB68-AC68</f>
        <v>4</v>
      </c>
      <c r="AE68">
        <v>0</v>
      </c>
      <c r="AF68">
        <f>AD68-AE68</f>
        <v>4</v>
      </c>
      <c r="AG68">
        <v>0</v>
      </c>
      <c r="AH68">
        <f>AF68-AG68</f>
        <v>4</v>
      </c>
      <c r="AI68">
        <v>3</v>
      </c>
      <c r="AJ68">
        <v>0</v>
      </c>
      <c r="AL68">
        <f>AJ68-AK68</f>
        <v>0</v>
      </c>
      <c r="AN68">
        <f>AL68-AM68</f>
        <v>0</v>
      </c>
      <c r="AP68">
        <f>AN68-AO68</f>
        <v>0</v>
      </c>
      <c r="AR68">
        <f>AP68-AQ68</f>
        <v>0</v>
      </c>
      <c r="AT68">
        <f>AR68-AS68</f>
        <v>0</v>
      </c>
      <c r="AV68">
        <f>AT68-AU68</f>
        <v>0</v>
      </c>
      <c r="AX68">
        <f>AV68-AW68</f>
        <v>0</v>
      </c>
      <c r="AZ68" s="8">
        <f>AX68-AY68</f>
        <v>0</v>
      </c>
      <c r="BB68" s="21">
        <f>AY68+AW68+AU68+AS68+AQ68+AO68+AM68+AK68+AI68+AG68+AE68+AC68+AA68+Y68+W68+U68+S68+Q68+O68+M68+K68</f>
        <v>8</v>
      </c>
      <c r="BC68">
        <f>$BB68*D68</f>
        <v>0</v>
      </c>
      <c r="BD68">
        <f>BC68*F68</f>
        <v>0</v>
      </c>
      <c r="BE68">
        <f>BD68*G68</f>
        <v>0</v>
      </c>
      <c r="BF68" s="21">
        <f>$BB68*E68</f>
        <v>8</v>
      </c>
      <c r="BG68" s="21">
        <f>$BB68*H68</f>
        <v>0</v>
      </c>
    </row>
    <row r="69" spans="1:59">
      <c r="A69" s="47"/>
      <c r="B69" s="9">
        <v>12</v>
      </c>
      <c r="C69" s="38" t="s">
        <v>70</v>
      </c>
      <c r="D69" s="37">
        <v>1</v>
      </c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</row>
    <row r="70" spans="1:59">
      <c r="A70" s="47"/>
      <c r="B70" s="8"/>
      <c r="C70" s="35" t="s">
        <v>71</v>
      </c>
      <c r="D70" s="14">
        <f>D69</f>
        <v>1</v>
      </c>
      <c r="E70" s="14">
        <v>0</v>
      </c>
      <c r="F70" s="14">
        <v>0</v>
      </c>
      <c r="G70" s="14">
        <v>0</v>
      </c>
      <c r="H70" s="14">
        <v>0</v>
      </c>
      <c r="I70">
        <v>2</v>
      </c>
      <c r="J70">
        <f>I70</f>
        <v>2</v>
      </c>
      <c r="K70">
        <v>0</v>
      </c>
      <c r="L70">
        <f>J70-K70</f>
        <v>2</v>
      </c>
      <c r="M70">
        <v>0</v>
      </c>
      <c r="N70">
        <f>L70-M70</f>
        <v>2</v>
      </c>
      <c r="O70">
        <v>0</v>
      </c>
      <c r="P70">
        <f>N70-O70</f>
        <v>2</v>
      </c>
      <c r="Q70">
        <v>0</v>
      </c>
      <c r="R70">
        <f>P70-Q70</f>
        <v>2</v>
      </c>
      <c r="S70">
        <v>0</v>
      </c>
      <c r="T70">
        <f>R70-S70</f>
        <v>2</v>
      </c>
      <c r="U70">
        <v>2</v>
      </c>
      <c r="V70">
        <f>T70-U70</f>
        <v>0</v>
      </c>
      <c r="W70">
        <v>0</v>
      </c>
      <c r="X70">
        <f>V70-W70</f>
        <v>0</v>
      </c>
      <c r="Y70">
        <v>0</v>
      </c>
      <c r="Z70">
        <f>X70-Y70</f>
        <v>0</v>
      </c>
      <c r="AA70">
        <v>0</v>
      </c>
      <c r="AB70">
        <f>Z70-AA70</f>
        <v>0</v>
      </c>
      <c r="AC70">
        <v>0</v>
      </c>
      <c r="AD70">
        <f>AB70-AC70</f>
        <v>0</v>
      </c>
      <c r="AE70">
        <v>0</v>
      </c>
      <c r="AF70">
        <f>AD70-AE70</f>
        <v>0</v>
      </c>
      <c r="AG70">
        <v>0</v>
      </c>
      <c r="AH70">
        <f>AF70-AG70</f>
        <v>0</v>
      </c>
      <c r="AI70">
        <v>0</v>
      </c>
      <c r="AJ70">
        <f>AH70-AI70</f>
        <v>0</v>
      </c>
      <c r="AK70">
        <v>0</v>
      </c>
      <c r="AL70">
        <f>AJ70-AK70</f>
        <v>0</v>
      </c>
      <c r="AM70">
        <v>0</v>
      </c>
      <c r="AN70">
        <f>AL70-AM70</f>
        <v>0</v>
      </c>
      <c r="AO70">
        <v>0</v>
      </c>
      <c r="AP70">
        <f>AN70-AO70</f>
        <v>0</v>
      </c>
      <c r="AQ70">
        <v>0</v>
      </c>
      <c r="AR70">
        <f>AP70-AQ70</f>
        <v>0</v>
      </c>
      <c r="AS70">
        <v>0</v>
      </c>
      <c r="AT70">
        <f>AR70-AS70</f>
        <v>0</v>
      </c>
      <c r="AU70">
        <v>0</v>
      </c>
      <c r="AV70">
        <f>AT70-AU70</f>
        <v>0</v>
      </c>
      <c r="AW70">
        <v>0</v>
      </c>
      <c r="AX70">
        <f>AV70-AW70</f>
        <v>0</v>
      </c>
      <c r="AY70">
        <v>0</v>
      </c>
      <c r="AZ70" s="8">
        <f>AX70-AY70</f>
        <v>0</v>
      </c>
      <c r="BB70" s="21">
        <f>AY70+AW70+AU70+AS70+AQ70+AO70+AM70+AK70+AI70+AG70+AE70+AC70+AA70+Y70+W70+U70+S70+Q70+O70+M70+K70</f>
        <v>2</v>
      </c>
      <c r="BC70">
        <f>$BB70*D70</f>
        <v>2</v>
      </c>
      <c r="BD70">
        <f t="shared" ref="BD70:BE74" si="72">BC70*F70</f>
        <v>0</v>
      </c>
      <c r="BE70">
        <f t="shared" si="72"/>
        <v>0</v>
      </c>
      <c r="BF70" s="21">
        <f>$BB70*E70</f>
        <v>0</v>
      </c>
      <c r="BG70" s="21">
        <f>$BB70*H70</f>
        <v>0</v>
      </c>
    </row>
    <row r="71" spans="1:59">
      <c r="A71" s="47"/>
      <c r="B71" s="8"/>
      <c r="C71" s="35" t="s">
        <v>72</v>
      </c>
      <c r="D71" s="14">
        <f>D69</f>
        <v>1</v>
      </c>
      <c r="E71" s="14">
        <v>0</v>
      </c>
      <c r="F71" s="14">
        <v>0</v>
      </c>
      <c r="G71" s="14">
        <v>0</v>
      </c>
      <c r="H71" s="14">
        <v>0</v>
      </c>
      <c r="I71">
        <v>4</v>
      </c>
      <c r="J71">
        <f>I71</f>
        <v>4</v>
      </c>
      <c r="K71">
        <v>0</v>
      </c>
      <c r="L71">
        <f>J71-K71</f>
        <v>4</v>
      </c>
      <c r="M71">
        <v>0</v>
      </c>
      <c r="N71">
        <f>L71-M71</f>
        <v>4</v>
      </c>
      <c r="O71">
        <v>0</v>
      </c>
      <c r="P71">
        <f>N71-O71</f>
        <v>4</v>
      </c>
      <c r="Q71">
        <v>0</v>
      </c>
      <c r="R71">
        <f>P71-Q71</f>
        <v>4</v>
      </c>
      <c r="S71">
        <v>0</v>
      </c>
      <c r="T71">
        <f>R71-S71</f>
        <v>4</v>
      </c>
      <c r="U71">
        <v>0</v>
      </c>
      <c r="V71">
        <f>T71-U71</f>
        <v>4</v>
      </c>
      <c r="W71">
        <v>2</v>
      </c>
      <c r="X71">
        <f>V71-W71</f>
        <v>2</v>
      </c>
      <c r="Y71">
        <v>0</v>
      </c>
      <c r="Z71">
        <f>X71-Y71</f>
        <v>2</v>
      </c>
      <c r="AA71">
        <v>2</v>
      </c>
      <c r="AB71">
        <v>3</v>
      </c>
      <c r="AC71">
        <v>1</v>
      </c>
      <c r="AD71">
        <f>AB71-AC71</f>
        <v>2</v>
      </c>
      <c r="AE71">
        <v>0</v>
      </c>
      <c r="AF71">
        <f>AD71-AE71</f>
        <v>2</v>
      </c>
      <c r="AG71">
        <v>2</v>
      </c>
      <c r="AH71">
        <f>AF71-AG71</f>
        <v>0</v>
      </c>
      <c r="AI71">
        <v>0</v>
      </c>
      <c r="AJ71">
        <f>AH71-AI71</f>
        <v>0</v>
      </c>
      <c r="AK71">
        <v>0</v>
      </c>
      <c r="AL71">
        <f>AJ71-AK71</f>
        <v>0</v>
      </c>
      <c r="AM71">
        <v>0</v>
      </c>
      <c r="AN71">
        <f>AL71-AM71</f>
        <v>0</v>
      </c>
      <c r="AO71">
        <v>0</v>
      </c>
      <c r="AP71">
        <f>AN71-AO71</f>
        <v>0</v>
      </c>
      <c r="AQ71">
        <v>0</v>
      </c>
      <c r="AR71">
        <f>AP71-AQ71</f>
        <v>0</v>
      </c>
      <c r="AS71">
        <v>0</v>
      </c>
      <c r="AT71">
        <f>AR71-AS71</f>
        <v>0</v>
      </c>
      <c r="AU71">
        <v>0</v>
      </c>
      <c r="AV71">
        <f>AT71-AU71</f>
        <v>0</v>
      </c>
      <c r="AW71">
        <v>0</v>
      </c>
      <c r="AX71">
        <f>AV71-AW71</f>
        <v>0</v>
      </c>
      <c r="AY71">
        <v>0</v>
      </c>
      <c r="AZ71" s="8">
        <f>AX71-AY71</f>
        <v>0</v>
      </c>
      <c r="BB71" s="21">
        <f>AY71+AW71+AU71+AS71+AQ71+AO71+AM71+AK71+AI71+AG71+AE71+AC71+AA71+Y71+W71+U71+S71+Q71+O71+M71+K71</f>
        <v>7</v>
      </c>
      <c r="BC71">
        <f>$BB71*D71</f>
        <v>7</v>
      </c>
      <c r="BD71">
        <f t="shared" si="72"/>
        <v>0</v>
      </c>
      <c r="BE71">
        <f t="shared" si="72"/>
        <v>0</v>
      </c>
      <c r="BF71" s="21">
        <f>$BB71*E71</f>
        <v>0</v>
      </c>
      <c r="BG71" s="21">
        <f>$BB71*H71</f>
        <v>0</v>
      </c>
    </row>
    <row r="72" spans="1:59">
      <c r="A72" s="47"/>
      <c r="B72" s="8"/>
      <c r="C72" s="36" t="s">
        <v>73</v>
      </c>
      <c r="D72" s="14">
        <f>D70</f>
        <v>1</v>
      </c>
      <c r="E72" s="14">
        <v>0</v>
      </c>
      <c r="F72" s="14">
        <v>0</v>
      </c>
      <c r="G72" s="14">
        <v>0</v>
      </c>
      <c r="H72" s="14">
        <v>0</v>
      </c>
      <c r="I72">
        <v>10</v>
      </c>
      <c r="J72">
        <f>I72</f>
        <v>10</v>
      </c>
      <c r="K72">
        <v>0</v>
      </c>
      <c r="L72">
        <f>J72-K72</f>
        <v>10</v>
      </c>
      <c r="M72">
        <v>0</v>
      </c>
      <c r="N72">
        <f>L72-M72</f>
        <v>10</v>
      </c>
      <c r="O72">
        <v>0</v>
      </c>
      <c r="P72">
        <f>N72-O72</f>
        <v>10</v>
      </c>
      <c r="Q72">
        <v>0</v>
      </c>
      <c r="R72">
        <f>P72-Q72</f>
        <v>10</v>
      </c>
      <c r="S72">
        <v>0</v>
      </c>
      <c r="T72">
        <f>R72-S72</f>
        <v>10</v>
      </c>
      <c r="U72">
        <v>0</v>
      </c>
      <c r="V72">
        <f>T72-U72</f>
        <v>10</v>
      </c>
      <c r="W72">
        <v>0</v>
      </c>
      <c r="X72">
        <f>V72-W72</f>
        <v>10</v>
      </c>
      <c r="Y72">
        <v>4</v>
      </c>
      <c r="Z72">
        <f>X72-Y72</f>
        <v>6</v>
      </c>
      <c r="AA72">
        <v>0</v>
      </c>
      <c r="AB72">
        <f>Z72-AA72</f>
        <v>6</v>
      </c>
      <c r="AC72">
        <v>4</v>
      </c>
      <c r="AD72">
        <f>AB72-AC72</f>
        <v>2</v>
      </c>
      <c r="AE72">
        <v>0</v>
      </c>
      <c r="AF72">
        <v>3</v>
      </c>
      <c r="AG72">
        <v>3</v>
      </c>
      <c r="AH72">
        <v>1</v>
      </c>
      <c r="AI72">
        <v>1</v>
      </c>
      <c r="AJ72">
        <f>AH72-AI72</f>
        <v>0</v>
      </c>
      <c r="AK72">
        <v>0</v>
      </c>
      <c r="AL72">
        <f>AJ72-AK72</f>
        <v>0</v>
      </c>
      <c r="AM72">
        <v>0</v>
      </c>
      <c r="AN72">
        <f>AL72-AM72</f>
        <v>0</v>
      </c>
      <c r="AO72">
        <v>0</v>
      </c>
      <c r="AP72">
        <f>AN72-AO72</f>
        <v>0</v>
      </c>
      <c r="AQ72">
        <v>0</v>
      </c>
      <c r="AR72">
        <f>AP72-AQ72</f>
        <v>0</v>
      </c>
      <c r="AS72">
        <v>0</v>
      </c>
      <c r="AT72">
        <f>AR72-AS72</f>
        <v>0</v>
      </c>
      <c r="AU72">
        <v>0</v>
      </c>
      <c r="AV72">
        <f>AT72-AU72</f>
        <v>0</v>
      </c>
      <c r="AW72">
        <v>0</v>
      </c>
      <c r="AX72">
        <f>AV72-AW72</f>
        <v>0</v>
      </c>
      <c r="AY72">
        <v>0</v>
      </c>
      <c r="AZ72" s="8">
        <f>AX72-AY72</f>
        <v>0</v>
      </c>
      <c r="BB72" s="21">
        <f>AY72+AW72+AU72+AS72+AQ72+AO72+AM72+AK72+AI72+AG72+AE72+AC72+AA72+Y72+W72+U72+S72+Q72+O72+M72+K72</f>
        <v>12</v>
      </c>
      <c r="BC72">
        <f>$BB72*D72</f>
        <v>12</v>
      </c>
      <c r="BD72">
        <f t="shared" si="72"/>
        <v>0</v>
      </c>
      <c r="BE72">
        <f t="shared" si="72"/>
        <v>0</v>
      </c>
      <c r="BF72" s="21">
        <f>$BB72*E72</f>
        <v>0</v>
      </c>
      <c r="BG72" s="21">
        <f>$BB72*H72</f>
        <v>0</v>
      </c>
    </row>
    <row r="73" spans="1:59">
      <c r="A73" s="47"/>
      <c r="B73" s="8"/>
      <c r="C73" s="36" t="s">
        <v>74</v>
      </c>
      <c r="D73" s="14">
        <f>D71</f>
        <v>1</v>
      </c>
      <c r="E73" s="14">
        <f>E71</f>
        <v>0</v>
      </c>
      <c r="F73" s="14">
        <v>0</v>
      </c>
      <c r="G73" s="14">
        <v>0</v>
      </c>
      <c r="H73" s="14">
        <v>0</v>
      </c>
      <c r="I73">
        <v>2</v>
      </c>
      <c r="J73">
        <f>I73</f>
        <v>2</v>
      </c>
      <c r="K73">
        <v>0</v>
      </c>
      <c r="L73">
        <f>J73-K73</f>
        <v>2</v>
      </c>
      <c r="M73">
        <v>0</v>
      </c>
      <c r="N73">
        <f>L73-M73</f>
        <v>2</v>
      </c>
      <c r="O73">
        <v>0</v>
      </c>
      <c r="P73">
        <f>N73-O73</f>
        <v>2</v>
      </c>
      <c r="Q73">
        <v>0</v>
      </c>
      <c r="R73">
        <f>P73-Q73</f>
        <v>2</v>
      </c>
      <c r="S73">
        <v>0</v>
      </c>
      <c r="T73">
        <f>R73-S73</f>
        <v>2</v>
      </c>
      <c r="U73">
        <v>0</v>
      </c>
      <c r="V73">
        <v>2</v>
      </c>
      <c r="W73">
        <v>0</v>
      </c>
      <c r="X73">
        <f>V73-W73</f>
        <v>2</v>
      </c>
      <c r="Y73">
        <v>0</v>
      </c>
      <c r="Z73">
        <f>X73-Y73</f>
        <v>2</v>
      </c>
      <c r="AA73">
        <v>0</v>
      </c>
      <c r="AB73">
        <f>Z73-AA73</f>
        <v>2</v>
      </c>
      <c r="AC73">
        <v>0</v>
      </c>
      <c r="AD73">
        <f>AB73-AC73</f>
        <v>2</v>
      </c>
      <c r="AE73">
        <v>0</v>
      </c>
      <c r="AF73">
        <f>AD73-AE73</f>
        <v>2</v>
      </c>
      <c r="AG73">
        <v>2</v>
      </c>
      <c r="AH73">
        <f>AF73-AG73</f>
        <v>0</v>
      </c>
      <c r="AI73">
        <v>0</v>
      </c>
      <c r="AJ73">
        <v>2</v>
      </c>
      <c r="AK73">
        <v>2</v>
      </c>
      <c r="AL73">
        <f>AJ73-AK73</f>
        <v>0</v>
      </c>
      <c r="AM73">
        <v>0</v>
      </c>
      <c r="AN73">
        <f>AL73-AM73</f>
        <v>0</v>
      </c>
      <c r="AO73">
        <v>0</v>
      </c>
      <c r="AP73">
        <f>AN73-AO73</f>
        <v>0</v>
      </c>
      <c r="AQ73">
        <v>0</v>
      </c>
      <c r="AR73">
        <f>AP73-AQ73</f>
        <v>0</v>
      </c>
      <c r="AS73">
        <v>0</v>
      </c>
      <c r="AT73">
        <f>AR73-AS73</f>
        <v>0</v>
      </c>
      <c r="AU73">
        <v>0</v>
      </c>
      <c r="AV73">
        <f>AT73-AU73</f>
        <v>0</v>
      </c>
      <c r="AW73">
        <v>0</v>
      </c>
      <c r="AX73">
        <f>AV73-AW73</f>
        <v>0</v>
      </c>
      <c r="AY73">
        <v>0</v>
      </c>
      <c r="AZ73" s="8">
        <f>AX73-AY73</f>
        <v>0</v>
      </c>
      <c r="BB73" s="21">
        <f>AY73+AW73+AU73+AS73+AQ73+AO73+AM73+AK73+AI73+AG73+AE73+AC73+AA73+Y73+W73+U73+S73+Q73+O73+M73+K73</f>
        <v>4</v>
      </c>
      <c r="BC73">
        <f>$BB73*D73</f>
        <v>4</v>
      </c>
      <c r="BD73">
        <f t="shared" si="72"/>
        <v>0</v>
      </c>
      <c r="BE73">
        <f t="shared" si="72"/>
        <v>0</v>
      </c>
      <c r="BF73" s="21">
        <f>$BB73*E73</f>
        <v>0</v>
      </c>
      <c r="BG73" s="21">
        <f>$BB73*H73</f>
        <v>0</v>
      </c>
    </row>
    <row r="74" spans="1:59">
      <c r="A74" s="47"/>
      <c r="B74" s="8"/>
      <c r="C74" s="36" t="s">
        <v>75</v>
      </c>
      <c r="D74" s="14">
        <f>D72</f>
        <v>1</v>
      </c>
      <c r="E74" s="14">
        <v>0</v>
      </c>
      <c r="F74" s="14">
        <v>0</v>
      </c>
      <c r="G74" s="14">
        <v>0</v>
      </c>
      <c r="H74" s="14">
        <v>0</v>
      </c>
      <c r="I74">
        <v>2</v>
      </c>
      <c r="J74">
        <f>I74</f>
        <v>2</v>
      </c>
      <c r="K74">
        <v>0</v>
      </c>
      <c r="L74">
        <f>J74-K74</f>
        <v>2</v>
      </c>
      <c r="M74">
        <v>0</v>
      </c>
      <c r="N74">
        <f>L74-M74</f>
        <v>2</v>
      </c>
      <c r="O74">
        <v>0</v>
      </c>
      <c r="P74">
        <f>N74-O74</f>
        <v>2</v>
      </c>
      <c r="Q74">
        <v>0</v>
      </c>
      <c r="R74">
        <f>P74-Q74</f>
        <v>2</v>
      </c>
      <c r="S74">
        <v>0</v>
      </c>
      <c r="T74">
        <f>R74-S74</f>
        <v>2</v>
      </c>
      <c r="U74">
        <v>0</v>
      </c>
      <c r="V74">
        <v>2</v>
      </c>
      <c r="W74">
        <v>0</v>
      </c>
      <c r="X74">
        <f>V74-W74</f>
        <v>2</v>
      </c>
      <c r="Y74">
        <v>0</v>
      </c>
      <c r="Z74">
        <f>X74-Y74</f>
        <v>2</v>
      </c>
      <c r="AA74">
        <v>0</v>
      </c>
      <c r="AB74">
        <f>Z74-AA74</f>
        <v>2</v>
      </c>
      <c r="AC74">
        <v>0</v>
      </c>
      <c r="AD74">
        <f>AB74-AC74</f>
        <v>2</v>
      </c>
      <c r="AE74">
        <v>2</v>
      </c>
      <c r="AF74">
        <f>AD74-AE74</f>
        <v>0</v>
      </c>
      <c r="AG74">
        <v>0</v>
      </c>
      <c r="AH74">
        <v>3</v>
      </c>
      <c r="AI74">
        <v>3</v>
      </c>
      <c r="AJ74">
        <f>AH74-AI74</f>
        <v>0</v>
      </c>
      <c r="AK74">
        <v>0</v>
      </c>
      <c r="AL74">
        <f>AJ74-AK74</f>
        <v>0</v>
      </c>
      <c r="AM74">
        <v>0</v>
      </c>
      <c r="AN74">
        <f>AL74-AM74</f>
        <v>0</v>
      </c>
      <c r="AO74">
        <v>0</v>
      </c>
      <c r="AP74">
        <f>AN74-AO74</f>
        <v>0</v>
      </c>
      <c r="AQ74">
        <v>0</v>
      </c>
      <c r="AR74">
        <f>AP74-AQ74</f>
        <v>0</v>
      </c>
      <c r="AS74">
        <v>0</v>
      </c>
      <c r="AT74">
        <f>AR74-AS74</f>
        <v>0</v>
      </c>
      <c r="AU74">
        <v>0</v>
      </c>
      <c r="AV74">
        <f>AT74-AU74</f>
        <v>0</v>
      </c>
      <c r="AW74">
        <v>0</v>
      </c>
      <c r="AX74">
        <f>AV74-AW74</f>
        <v>0</v>
      </c>
      <c r="AY74">
        <v>0</v>
      </c>
      <c r="AZ74" s="8">
        <f>AX74-AY74</f>
        <v>0</v>
      </c>
      <c r="BB74" s="21">
        <f>AY74+AW74+AU74+AS74+AQ74+AO74+AM74+AK74+AI74+AG74+AE74+AC74+AA74+Y74+W74+U74+S74+Q74+O74+M74+K74</f>
        <v>5</v>
      </c>
      <c r="BC74">
        <f>$BB74*D74</f>
        <v>5</v>
      </c>
      <c r="BD74">
        <f t="shared" si="72"/>
        <v>0</v>
      </c>
      <c r="BE74">
        <f t="shared" si="72"/>
        <v>0</v>
      </c>
      <c r="BF74" s="21">
        <f>$BB74*E74</f>
        <v>0</v>
      </c>
      <c r="BG74" s="21">
        <f>$BB74*H74</f>
        <v>0</v>
      </c>
    </row>
    <row r="75" spans="1:59">
      <c r="A75" s="47"/>
      <c r="B75" s="9">
        <v>13</v>
      </c>
      <c r="C75" s="38" t="s">
        <v>76</v>
      </c>
      <c r="D75" s="37">
        <v>1</v>
      </c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</row>
    <row r="76" spans="1:59">
      <c r="A76" s="47"/>
      <c r="B76" s="8"/>
      <c r="C76" s="35" t="s">
        <v>77</v>
      </c>
      <c r="D76" s="14">
        <f>D75</f>
        <v>1</v>
      </c>
      <c r="E76" s="14">
        <v>0</v>
      </c>
      <c r="F76" s="14">
        <v>0</v>
      </c>
      <c r="G76" s="14">
        <v>0</v>
      </c>
      <c r="H76" s="14">
        <v>0</v>
      </c>
      <c r="I76">
        <v>2</v>
      </c>
      <c r="J76">
        <f>I76</f>
        <v>2</v>
      </c>
      <c r="L76">
        <f>J76-K76</f>
        <v>2</v>
      </c>
      <c r="N76">
        <f>L76-M76</f>
        <v>2</v>
      </c>
      <c r="P76">
        <f>N76-O76</f>
        <v>2</v>
      </c>
      <c r="R76">
        <f>P76-Q76</f>
        <v>2</v>
      </c>
      <c r="T76">
        <f>R76-S76</f>
        <v>2</v>
      </c>
      <c r="V76">
        <f>T76-U76</f>
        <v>2</v>
      </c>
      <c r="X76">
        <f>V76-W76</f>
        <v>2</v>
      </c>
      <c r="Z76">
        <f>X76-Y76</f>
        <v>2</v>
      </c>
      <c r="AB76">
        <f>Z76-AA76</f>
        <v>2</v>
      </c>
      <c r="AD76">
        <f>AB76-AC76</f>
        <v>2</v>
      </c>
      <c r="AF76">
        <f>AD76-AE76</f>
        <v>2</v>
      </c>
      <c r="AH76">
        <f>AF76-AG76</f>
        <v>2</v>
      </c>
      <c r="AJ76">
        <f>AH76-AI76</f>
        <v>2</v>
      </c>
      <c r="AL76">
        <f>AJ76-AK76</f>
        <v>2</v>
      </c>
      <c r="AN76">
        <f>AL76-AM76</f>
        <v>2</v>
      </c>
      <c r="AP76">
        <f>AN76-AO76</f>
        <v>2</v>
      </c>
      <c r="AR76">
        <f>AP76-AQ76</f>
        <v>2</v>
      </c>
      <c r="AT76">
        <f>AR76-AS76</f>
        <v>2</v>
      </c>
      <c r="AV76">
        <f>AT76-AU76</f>
        <v>2</v>
      </c>
      <c r="AX76">
        <f>AV76-AW76</f>
        <v>2</v>
      </c>
      <c r="AZ76" s="8">
        <f>AX76-AY76</f>
        <v>2</v>
      </c>
      <c r="BB76" s="21">
        <f>AY76+AW76+AU76+AS76+AQ76+AO76+AM76+AK76+AI76+AG76+AE76+AC76+AA76+Y76+W76+U76+S76+Q76+O76+M76+K76</f>
        <v>0</v>
      </c>
      <c r="BC76">
        <f>$BB76*D76</f>
        <v>0</v>
      </c>
      <c r="BD76">
        <f t="shared" ref="BD76:BE80" si="73">BC76*F76</f>
        <v>0</v>
      </c>
      <c r="BE76">
        <f t="shared" si="73"/>
        <v>0</v>
      </c>
      <c r="BF76" s="21">
        <f>$BB76*E76</f>
        <v>0</v>
      </c>
      <c r="BG76" s="21">
        <f>$BB76*H76</f>
        <v>0</v>
      </c>
    </row>
    <row r="77" spans="1:59">
      <c r="A77" s="47"/>
      <c r="B77" s="8"/>
      <c r="C77" s="35" t="s">
        <v>78</v>
      </c>
      <c r="D77" s="14">
        <f>D76</f>
        <v>1</v>
      </c>
      <c r="E77" s="14">
        <v>0</v>
      </c>
      <c r="F77" s="14">
        <v>0</v>
      </c>
      <c r="G77" s="14">
        <v>0</v>
      </c>
      <c r="H77" s="14">
        <v>0</v>
      </c>
      <c r="I77">
        <v>2</v>
      </c>
      <c r="J77">
        <f>I77</f>
        <v>2</v>
      </c>
      <c r="L77">
        <f>J77-K77</f>
        <v>2</v>
      </c>
      <c r="N77">
        <f>L77-M77</f>
        <v>2</v>
      </c>
      <c r="P77">
        <f>N77-O77</f>
        <v>2</v>
      </c>
      <c r="R77">
        <f>P77-Q77</f>
        <v>2</v>
      </c>
      <c r="T77">
        <f>R77-S77</f>
        <v>2</v>
      </c>
      <c r="V77">
        <f>T77-U77</f>
        <v>2</v>
      </c>
      <c r="X77">
        <f>V77-W77</f>
        <v>2</v>
      </c>
      <c r="Z77">
        <f>X77-Y77</f>
        <v>2</v>
      </c>
      <c r="AB77">
        <f>Z77-AA77</f>
        <v>2</v>
      </c>
      <c r="AD77">
        <f>AB77-AC77</f>
        <v>2</v>
      </c>
      <c r="AF77">
        <f>AD77-AE77</f>
        <v>2</v>
      </c>
      <c r="AH77">
        <f>AF77-AG77</f>
        <v>2</v>
      </c>
      <c r="AJ77">
        <f>AH77-AI77</f>
        <v>2</v>
      </c>
      <c r="AL77">
        <f>AJ77-AK77</f>
        <v>2</v>
      </c>
      <c r="AN77">
        <f>AL77-AM77</f>
        <v>2</v>
      </c>
      <c r="AP77">
        <f>AN77-AO77</f>
        <v>2</v>
      </c>
      <c r="AR77">
        <f>AP77-AQ77</f>
        <v>2</v>
      </c>
      <c r="AT77">
        <f>AR77-AS77</f>
        <v>2</v>
      </c>
      <c r="AV77">
        <f>AT77-AU77</f>
        <v>2</v>
      </c>
      <c r="AX77">
        <f>AV77-AW77</f>
        <v>2</v>
      </c>
      <c r="AZ77" s="8">
        <f>AX77-AY77</f>
        <v>2</v>
      </c>
      <c r="BB77" s="21">
        <f>AY77+AW77+AU77+AS77+AQ77+AO77+AM77+AK77+AI77+AG77+AE77+AC77+AA77+Y77+W77+U77+S77+Q77+O77+M77+K77</f>
        <v>0</v>
      </c>
      <c r="BC77">
        <f>$BB77*D77</f>
        <v>0</v>
      </c>
      <c r="BD77">
        <f t="shared" si="73"/>
        <v>0</v>
      </c>
      <c r="BE77">
        <f t="shared" si="73"/>
        <v>0</v>
      </c>
      <c r="BF77" s="21">
        <f>$BB77*E77</f>
        <v>0</v>
      </c>
      <c r="BG77" s="21">
        <f>$BB77*H77</f>
        <v>0</v>
      </c>
    </row>
    <row r="78" spans="1:59">
      <c r="A78" s="47"/>
      <c r="B78" s="8"/>
      <c r="C78" s="36" t="s">
        <v>79</v>
      </c>
      <c r="D78" s="14">
        <f>D77</f>
        <v>1</v>
      </c>
      <c r="E78" s="14">
        <v>0</v>
      </c>
      <c r="F78" s="14">
        <v>0</v>
      </c>
      <c r="G78" s="14">
        <v>0</v>
      </c>
      <c r="H78" s="14">
        <v>0</v>
      </c>
      <c r="I78">
        <v>8</v>
      </c>
      <c r="J78">
        <f>I78</f>
        <v>8</v>
      </c>
      <c r="L78">
        <f>J78-K78</f>
        <v>8</v>
      </c>
      <c r="N78">
        <f>L78-M78</f>
        <v>8</v>
      </c>
      <c r="P78">
        <f>N78-O78</f>
        <v>8</v>
      </c>
      <c r="R78">
        <f>P78-Q78</f>
        <v>8</v>
      </c>
      <c r="T78">
        <f>R78-S78</f>
        <v>8</v>
      </c>
      <c r="V78">
        <f>T78-U78</f>
        <v>8</v>
      </c>
      <c r="X78">
        <f>V78-W78</f>
        <v>8</v>
      </c>
      <c r="Z78">
        <f>X78-Y78</f>
        <v>8</v>
      </c>
      <c r="AB78">
        <f>Z78-AA78</f>
        <v>8</v>
      </c>
      <c r="AD78">
        <f>AB78-AC78</f>
        <v>8</v>
      </c>
      <c r="AF78">
        <f>AD78-AE78</f>
        <v>8</v>
      </c>
      <c r="AH78">
        <f>AF78-AG78</f>
        <v>8</v>
      </c>
      <c r="AJ78">
        <f>AH78-AI78</f>
        <v>8</v>
      </c>
      <c r="AL78">
        <f>AJ78-AK78</f>
        <v>8</v>
      </c>
      <c r="AN78">
        <f>AL78-AM78</f>
        <v>8</v>
      </c>
      <c r="AP78">
        <f>AN78-AO78</f>
        <v>8</v>
      </c>
      <c r="AR78">
        <f>AP78-AQ78</f>
        <v>8</v>
      </c>
      <c r="AT78">
        <f>AR78-AS78</f>
        <v>8</v>
      </c>
      <c r="AV78">
        <f>AT78-AU78</f>
        <v>8</v>
      </c>
      <c r="AX78">
        <f>AV78-AW78</f>
        <v>8</v>
      </c>
      <c r="AZ78" s="8">
        <f>AX78-AY78</f>
        <v>8</v>
      </c>
      <c r="BB78" s="21">
        <f>AY78+AW78+AU78+AS78+AQ78+AO78+AM78+AK78+AI78+AG78+AE78+AC78+AA78+Y78+W78+U78+S78+Q78+O78+M78+K78</f>
        <v>0</v>
      </c>
      <c r="BC78">
        <f>$BB78*D78</f>
        <v>0</v>
      </c>
      <c r="BD78">
        <f t="shared" si="73"/>
        <v>0</v>
      </c>
      <c r="BE78">
        <f t="shared" si="73"/>
        <v>0</v>
      </c>
      <c r="BF78" s="21">
        <f>$BB78*E78</f>
        <v>0</v>
      </c>
      <c r="BG78" s="21">
        <f>$BB78*H78</f>
        <v>0</v>
      </c>
    </row>
    <row r="79" spans="1:59">
      <c r="A79" s="47"/>
      <c r="B79" s="8"/>
      <c r="C79" s="36" t="s">
        <v>80</v>
      </c>
      <c r="D79" s="14">
        <f>D78</f>
        <v>1</v>
      </c>
      <c r="E79" s="14">
        <v>0</v>
      </c>
      <c r="F79" s="14">
        <v>0</v>
      </c>
      <c r="G79" s="14">
        <v>0</v>
      </c>
      <c r="H79" s="14">
        <v>0</v>
      </c>
      <c r="I79">
        <v>6</v>
      </c>
      <c r="J79">
        <f>I79</f>
        <v>6</v>
      </c>
      <c r="L79">
        <f>J79-K79</f>
        <v>6</v>
      </c>
      <c r="N79">
        <f>L79-M79</f>
        <v>6</v>
      </c>
      <c r="P79">
        <f>N79-O79</f>
        <v>6</v>
      </c>
      <c r="R79">
        <f>P79-Q79</f>
        <v>6</v>
      </c>
      <c r="T79">
        <f>R79-S79</f>
        <v>6</v>
      </c>
      <c r="V79">
        <f>T79-U79</f>
        <v>6</v>
      </c>
      <c r="X79">
        <f>V79-W79</f>
        <v>6</v>
      </c>
      <c r="Z79">
        <f>X79-Y79</f>
        <v>6</v>
      </c>
      <c r="AB79">
        <f>Z79-AA79</f>
        <v>6</v>
      </c>
      <c r="AD79">
        <f>AB79-AC79</f>
        <v>6</v>
      </c>
      <c r="AF79">
        <f>AD79-AE79</f>
        <v>6</v>
      </c>
      <c r="AH79">
        <f>AF79-AG79</f>
        <v>6</v>
      </c>
      <c r="AJ79">
        <f>AH79-AI79</f>
        <v>6</v>
      </c>
      <c r="AL79">
        <f>AJ79-AK79</f>
        <v>6</v>
      </c>
      <c r="AN79">
        <f>AL79-AM79</f>
        <v>6</v>
      </c>
      <c r="AP79">
        <f>AN79-AO79</f>
        <v>6</v>
      </c>
      <c r="AR79">
        <f>AP79-AQ79</f>
        <v>6</v>
      </c>
      <c r="AT79">
        <f>AR79-AS79</f>
        <v>6</v>
      </c>
      <c r="AV79">
        <f>AT79-AU79</f>
        <v>6</v>
      </c>
      <c r="AX79">
        <f>AV79-AW79</f>
        <v>6</v>
      </c>
      <c r="AZ79" s="8">
        <f>AX79-AY79</f>
        <v>6</v>
      </c>
      <c r="BB79" s="21">
        <f>AY79+AW79+AU79+AS79+AQ79+AO79+AM79+AK79+AI79+AG79+AE79+AC79+AA79+Y79+W79+U79+S79+Q79+O79+M79+K79</f>
        <v>0</v>
      </c>
      <c r="BC79">
        <f>$BB79*D79</f>
        <v>0</v>
      </c>
      <c r="BD79">
        <f t="shared" si="73"/>
        <v>0</v>
      </c>
      <c r="BE79">
        <f t="shared" si="73"/>
        <v>0</v>
      </c>
      <c r="BF79" s="21">
        <f>$BB79*E79</f>
        <v>0</v>
      </c>
      <c r="BG79" s="21">
        <f>$BB79*H79</f>
        <v>0</v>
      </c>
    </row>
    <row r="80" spans="1:59">
      <c r="A80" s="47"/>
      <c r="B80" s="8"/>
      <c r="C80" s="36" t="s">
        <v>81</v>
      </c>
      <c r="D80" s="14">
        <f>D79</f>
        <v>1</v>
      </c>
      <c r="E80" s="14">
        <v>0</v>
      </c>
      <c r="F80" s="14">
        <v>0</v>
      </c>
      <c r="G80" s="14">
        <v>0</v>
      </c>
      <c r="H80" s="14">
        <v>0</v>
      </c>
      <c r="I80">
        <v>4</v>
      </c>
      <c r="J80">
        <f>I80</f>
        <v>4</v>
      </c>
      <c r="L80">
        <f>J80-K80</f>
        <v>4</v>
      </c>
      <c r="N80">
        <f>L80-M80</f>
        <v>4</v>
      </c>
      <c r="P80">
        <f>N80-O80</f>
        <v>4</v>
      </c>
      <c r="R80">
        <f>P80-Q80</f>
        <v>4</v>
      </c>
      <c r="T80">
        <f>R80-S80</f>
        <v>4</v>
      </c>
      <c r="V80">
        <f>T80-U80</f>
        <v>4</v>
      </c>
      <c r="X80">
        <f>V80-W80</f>
        <v>4</v>
      </c>
      <c r="Z80">
        <f>X80-Y80</f>
        <v>4</v>
      </c>
      <c r="AB80">
        <f>Z80-AA80</f>
        <v>4</v>
      </c>
      <c r="AD80">
        <f>AB80-AC80</f>
        <v>4</v>
      </c>
      <c r="AF80">
        <f>AD80-AE80</f>
        <v>4</v>
      </c>
      <c r="AH80">
        <f>AF80-AG80</f>
        <v>4</v>
      </c>
      <c r="AJ80">
        <f>AH80-AI80</f>
        <v>4</v>
      </c>
      <c r="AL80">
        <f>AJ80-AK80</f>
        <v>4</v>
      </c>
      <c r="AN80">
        <f>AL80-AM80</f>
        <v>4</v>
      </c>
      <c r="AP80">
        <f>AN80-AO80</f>
        <v>4</v>
      </c>
      <c r="AR80">
        <f>AP80-AQ80</f>
        <v>4</v>
      </c>
      <c r="AT80">
        <f>AR80-AS80</f>
        <v>4</v>
      </c>
      <c r="AV80">
        <f>AT80-AU80</f>
        <v>4</v>
      </c>
      <c r="AX80">
        <f>AV80-AW80</f>
        <v>4</v>
      </c>
      <c r="AZ80" s="8">
        <f>AX80-AY80</f>
        <v>4</v>
      </c>
      <c r="BB80" s="21">
        <f>AY80+AW80+AU80+AS80+AQ80+AO80+AM80+AK80+AI80+AG80+AE80+AC80+AA80+Y80+W80+U80+S80+Q80+O80+M80+K80</f>
        <v>0</v>
      </c>
      <c r="BC80">
        <f>$BB80*D80</f>
        <v>0</v>
      </c>
      <c r="BD80">
        <f t="shared" si="73"/>
        <v>0</v>
      </c>
      <c r="BE80">
        <f t="shared" si="73"/>
        <v>0</v>
      </c>
      <c r="BF80" s="21">
        <f>$BB80*E80</f>
        <v>0</v>
      </c>
      <c r="BG80" s="21">
        <f>$BB80*H80</f>
        <v>0</v>
      </c>
    </row>
    <row r="81" spans="1:59" ht="37.5" customHeight="1">
      <c r="A81" s="47"/>
      <c r="B81" s="9">
        <v>14</v>
      </c>
      <c r="C81" s="38" t="s">
        <v>82</v>
      </c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</row>
    <row r="82" spans="1:59" ht="51" customHeight="1">
      <c r="A82" s="47"/>
      <c r="B82" s="8"/>
      <c r="C82" s="42" t="s">
        <v>83</v>
      </c>
      <c r="D82" s="14">
        <v>0</v>
      </c>
      <c r="E82" s="14">
        <v>0</v>
      </c>
      <c r="F82" s="14">
        <v>0</v>
      </c>
      <c r="G82" s="14">
        <v>0</v>
      </c>
      <c r="H82" s="14">
        <v>1</v>
      </c>
      <c r="I82">
        <v>30</v>
      </c>
      <c r="J82">
        <f>I82</f>
        <v>30</v>
      </c>
      <c r="K82">
        <v>0</v>
      </c>
      <c r="L82">
        <f>J82-K82</f>
        <v>30</v>
      </c>
      <c r="M82">
        <v>0</v>
      </c>
      <c r="N82">
        <f>L82-M82</f>
        <v>30</v>
      </c>
      <c r="O82">
        <v>0</v>
      </c>
      <c r="P82">
        <f>N82-O82</f>
        <v>30</v>
      </c>
      <c r="Q82">
        <v>0</v>
      </c>
      <c r="R82">
        <f>P82-Q82</f>
        <v>30</v>
      </c>
      <c r="S82">
        <v>0</v>
      </c>
      <c r="T82">
        <f>R82-S82</f>
        <v>30</v>
      </c>
      <c r="U82">
        <v>4</v>
      </c>
      <c r="V82">
        <f>T82-U82</f>
        <v>26</v>
      </c>
      <c r="W82">
        <v>0</v>
      </c>
      <c r="X82">
        <f>V82-W82</f>
        <v>26</v>
      </c>
      <c r="Y82">
        <v>3</v>
      </c>
      <c r="Z82">
        <f>X82-Y82</f>
        <v>23</v>
      </c>
      <c r="AA82">
        <v>4</v>
      </c>
      <c r="AB82">
        <f>Z82-AA82</f>
        <v>19</v>
      </c>
      <c r="AC82">
        <v>1</v>
      </c>
      <c r="AD82">
        <f>AB82-AC82</f>
        <v>18</v>
      </c>
      <c r="AE82">
        <v>2</v>
      </c>
      <c r="AF82">
        <f>AD82-AE82</f>
        <v>16</v>
      </c>
      <c r="AG82">
        <v>0</v>
      </c>
      <c r="AH82">
        <f>AF82-AG82</f>
        <v>16</v>
      </c>
      <c r="AI82">
        <v>2</v>
      </c>
      <c r="AJ82">
        <f>AH82-AI82</f>
        <v>14</v>
      </c>
      <c r="AK82">
        <v>1</v>
      </c>
      <c r="AL82">
        <f>AJ82-AK82</f>
        <v>13</v>
      </c>
      <c r="AM82">
        <v>1</v>
      </c>
      <c r="AN82">
        <f>AL82-AM82</f>
        <v>12</v>
      </c>
      <c r="AO82">
        <v>0</v>
      </c>
      <c r="AP82">
        <f>AN82-AO82</f>
        <v>12</v>
      </c>
      <c r="AQ82">
        <v>0</v>
      </c>
      <c r="AR82">
        <f>AP82-AQ82</f>
        <v>12</v>
      </c>
      <c r="AS82">
        <v>0</v>
      </c>
      <c r="AT82">
        <f>AR82-AS82</f>
        <v>12</v>
      </c>
      <c r="AU82">
        <v>6</v>
      </c>
      <c r="AV82">
        <f>AT82-AU82</f>
        <v>6</v>
      </c>
      <c r="AW82">
        <v>4</v>
      </c>
      <c r="AX82">
        <v>0</v>
      </c>
      <c r="AY82">
        <v>0</v>
      </c>
      <c r="AZ82" s="8">
        <f>AX82-AY82</f>
        <v>0</v>
      </c>
      <c r="BB82" s="21">
        <f>AY82+AW82+AU82+AS82+AQ82+AO82+AM82+AK82+AI82+AG82+AE82+AC82+AA82+Y82+W82+U82+S82+Q82+O82+M82+K82</f>
        <v>28</v>
      </c>
      <c r="BC82">
        <f>$BB82*D82</f>
        <v>0</v>
      </c>
      <c r="BD82">
        <f>BC82*F82</f>
        <v>0</v>
      </c>
      <c r="BE82">
        <f>BD82*G82</f>
        <v>0</v>
      </c>
      <c r="BF82" s="21">
        <f>$BB82*E82</f>
        <v>0</v>
      </c>
      <c r="BG82" s="21">
        <f>$BB82*H82</f>
        <v>28</v>
      </c>
    </row>
    <row r="83" spans="1:59" ht="28.5" customHeight="1">
      <c r="A83" s="47"/>
      <c r="B83" s="8"/>
      <c r="C83" s="35" t="s">
        <v>84</v>
      </c>
      <c r="D83" s="14">
        <v>0</v>
      </c>
      <c r="E83" s="14">
        <v>0</v>
      </c>
      <c r="F83" s="14">
        <v>0</v>
      </c>
      <c r="G83" s="14">
        <v>0</v>
      </c>
      <c r="H83" s="14">
        <v>1</v>
      </c>
      <c r="I83">
        <v>10</v>
      </c>
      <c r="J83">
        <f>I83</f>
        <v>10</v>
      </c>
      <c r="K83">
        <v>0</v>
      </c>
      <c r="L83">
        <f>J83-K83</f>
        <v>10</v>
      </c>
      <c r="M83">
        <v>0</v>
      </c>
      <c r="N83">
        <f>L83-M83</f>
        <v>10</v>
      </c>
      <c r="O83">
        <v>0</v>
      </c>
      <c r="P83">
        <f>N83-O83</f>
        <v>10</v>
      </c>
      <c r="Q83">
        <v>0</v>
      </c>
      <c r="R83">
        <f>P83-Q83</f>
        <v>10</v>
      </c>
      <c r="S83">
        <v>0</v>
      </c>
      <c r="T83">
        <f>R83-S83</f>
        <v>10</v>
      </c>
      <c r="U83">
        <v>0</v>
      </c>
      <c r="V83">
        <f>T83-U83</f>
        <v>10</v>
      </c>
      <c r="W83">
        <v>0</v>
      </c>
      <c r="X83">
        <f>V83-W83</f>
        <v>10</v>
      </c>
      <c r="Y83">
        <v>0</v>
      </c>
      <c r="Z83">
        <f>X83-Y83</f>
        <v>10</v>
      </c>
      <c r="AA83">
        <v>0</v>
      </c>
      <c r="AB83">
        <f>Z83-AA83</f>
        <v>10</v>
      </c>
      <c r="AC83">
        <v>0</v>
      </c>
      <c r="AD83">
        <f>AB83-AC83</f>
        <v>10</v>
      </c>
      <c r="AE83">
        <v>0</v>
      </c>
      <c r="AF83">
        <f>AD83-AE83</f>
        <v>10</v>
      </c>
      <c r="AG83">
        <v>3</v>
      </c>
      <c r="AH83">
        <f>AF83-AG83</f>
        <v>7</v>
      </c>
      <c r="AI83">
        <v>0</v>
      </c>
      <c r="AJ83">
        <f>AH83-AI83</f>
        <v>7</v>
      </c>
      <c r="AK83">
        <v>1</v>
      </c>
      <c r="AL83">
        <f>AJ83-AK83</f>
        <v>6</v>
      </c>
      <c r="AM83">
        <v>2</v>
      </c>
      <c r="AN83">
        <f>AL83-AM83</f>
        <v>4</v>
      </c>
      <c r="AO83">
        <v>0</v>
      </c>
      <c r="AP83">
        <f>AN83-AO83</f>
        <v>4</v>
      </c>
      <c r="AQ83">
        <v>0</v>
      </c>
      <c r="AR83">
        <f>AP83-AQ83</f>
        <v>4</v>
      </c>
      <c r="AS83">
        <v>0</v>
      </c>
      <c r="AT83">
        <f>AR83-AS83</f>
        <v>4</v>
      </c>
      <c r="AU83">
        <v>0</v>
      </c>
      <c r="AV83">
        <f>AT83-AU83</f>
        <v>4</v>
      </c>
      <c r="AW83">
        <v>1</v>
      </c>
      <c r="AX83">
        <f>AV83-AW83</f>
        <v>3</v>
      </c>
      <c r="AY83">
        <v>3</v>
      </c>
      <c r="AZ83" s="8">
        <f>AX83-AY83</f>
        <v>0</v>
      </c>
      <c r="BB83" s="21">
        <f>AY83+AW83+AU83+AS83+AQ83+AO83+AM83+AK83+AI83+AG83+AE83+AC83+AA83+Y83+W83+U83+S83+Q83+O83+M83+K83</f>
        <v>10</v>
      </c>
      <c r="BC83">
        <f>$BB83*D83</f>
        <v>0</v>
      </c>
      <c r="BD83">
        <f>BC83*F83</f>
        <v>0</v>
      </c>
      <c r="BE83">
        <f>BD83*G83</f>
        <v>0</v>
      </c>
      <c r="BF83" s="21">
        <f>$BB83*E83</f>
        <v>0</v>
      </c>
      <c r="BG83" s="21">
        <f>$BB83*H83</f>
        <v>10</v>
      </c>
    </row>
    <row r="84" spans="1:59" ht="27.75">
      <c r="A84" s="47"/>
      <c r="B84" s="9">
        <v>15</v>
      </c>
      <c r="C84" s="38" t="s">
        <v>85</v>
      </c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</row>
    <row r="85" spans="1:59">
      <c r="A85" s="47"/>
      <c r="B85" s="8"/>
      <c r="C85" s="35" t="s">
        <v>86</v>
      </c>
      <c r="D85" s="14">
        <v>0</v>
      </c>
      <c r="E85" s="14">
        <v>0</v>
      </c>
      <c r="F85" s="14">
        <v>0</v>
      </c>
      <c r="G85" s="14">
        <v>0</v>
      </c>
      <c r="H85" s="14">
        <v>1</v>
      </c>
      <c r="I85">
        <v>10</v>
      </c>
      <c r="J85">
        <f>I85</f>
        <v>10</v>
      </c>
      <c r="K85">
        <v>0</v>
      </c>
      <c r="L85">
        <f>J85-K85</f>
        <v>10</v>
      </c>
      <c r="M85">
        <v>0</v>
      </c>
      <c r="N85">
        <f>L85-M85</f>
        <v>10</v>
      </c>
      <c r="O85">
        <v>0</v>
      </c>
      <c r="P85">
        <f>N85-O85</f>
        <v>10</v>
      </c>
      <c r="Q85">
        <v>0</v>
      </c>
      <c r="R85">
        <f>P85-Q85</f>
        <v>10</v>
      </c>
      <c r="S85">
        <v>0</v>
      </c>
      <c r="T85">
        <f>R85-S85</f>
        <v>10</v>
      </c>
      <c r="U85">
        <v>0</v>
      </c>
      <c r="V85">
        <f>T85-U85</f>
        <v>10</v>
      </c>
      <c r="W85">
        <v>0</v>
      </c>
      <c r="X85">
        <f>V85-W85</f>
        <v>10</v>
      </c>
      <c r="Y85">
        <v>0</v>
      </c>
      <c r="Z85">
        <f>X85-Y85</f>
        <v>10</v>
      </c>
      <c r="AA85">
        <v>0</v>
      </c>
      <c r="AB85">
        <f>Z85-AA85</f>
        <v>10</v>
      </c>
      <c r="AC85">
        <v>0</v>
      </c>
      <c r="AD85">
        <f>AB85-AC85</f>
        <v>10</v>
      </c>
      <c r="AE85">
        <v>0</v>
      </c>
      <c r="AF85">
        <f>AD85-AE85</f>
        <v>10</v>
      </c>
      <c r="AG85">
        <v>0</v>
      </c>
      <c r="AH85">
        <f>AF85-AG85</f>
        <v>10</v>
      </c>
      <c r="AI85">
        <v>0</v>
      </c>
      <c r="AJ85">
        <f>AH85-AI85</f>
        <v>10</v>
      </c>
      <c r="AK85">
        <v>2</v>
      </c>
      <c r="AL85">
        <f>AJ85-AK85</f>
        <v>8</v>
      </c>
      <c r="AM85">
        <v>3</v>
      </c>
      <c r="AN85">
        <f>AL85-AM85</f>
        <v>5</v>
      </c>
      <c r="AO85">
        <v>0</v>
      </c>
      <c r="AP85">
        <f>AN85-AO85</f>
        <v>5</v>
      </c>
      <c r="AR85">
        <f>AP85-AQ85</f>
        <v>5</v>
      </c>
      <c r="AT85">
        <f>AR85-AS85</f>
        <v>5</v>
      </c>
      <c r="AV85">
        <f>AT85-AU85</f>
        <v>5</v>
      </c>
      <c r="AX85">
        <f>AV85-AW85</f>
        <v>5</v>
      </c>
      <c r="AZ85" s="8">
        <f>AX85-AY85</f>
        <v>5</v>
      </c>
      <c r="BB85" s="21">
        <f>AY85+AW85+AU85+AS85+AQ85+AO85+AM85+AK85+AI85+AG85+AE85+AC85+AA85+Y85+W85+U85+S85+Q85+O85+M85+K85</f>
        <v>5</v>
      </c>
      <c r="BC85">
        <f>$BB85*D85</f>
        <v>0</v>
      </c>
      <c r="BD85">
        <f t="shared" ref="BD85:BE87" si="74">BC85*F85</f>
        <v>0</v>
      </c>
      <c r="BE85">
        <f t="shared" si="74"/>
        <v>0</v>
      </c>
      <c r="BF85" s="21">
        <f>$BB85*E85</f>
        <v>0</v>
      </c>
      <c r="BG85" s="21">
        <f>$BB85*H85</f>
        <v>5</v>
      </c>
    </row>
    <row r="86" spans="1:59">
      <c r="A86" s="47"/>
      <c r="B86" s="8"/>
      <c r="C86" s="35" t="s">
        <v>87</v>
      </c>
      <c r="D86" s="14">
        <v>0</v>
      </c>
      <c r="E86" s="14">
        <v>0</v>
      </c>
      <c r="F86" s="14">
        <v>0</v>
      </c>
      <c r="G86" s="14">
        <v>0</v>
      </c>
      <c r="H86" s="14">
        <v>1</v>
      </c>
      <c r="I86">
        <v>5</v>
      </c>
      <c r="J86">
        <f>I86</f>
        <v>5</v>
      </c>
      <c r="K86">
        <v>0</v>
      </c>
      <c r="L86">
        <f>J86-K86</f>
        <v>5</v>
      </c>
      <c r="M86">
        <v>0</v>
      </c>
      <c r="N86">
        <f>L86-M86</f>
        <v>5</v>
      </c>
      <c r="O86">
        <v>0</v>
      </c>
      <c r="P86">
        <f>N86-O86</f>
        <v>5</v>
      </c>
      <c r="Q86">
        <v>0</v>
      </c>
      <c r="R86">
        <f>P86-Q86</f>
        <v>5</v>
      </c>
      <c r="S86">
        <v>0</v>
      </c>
      <c r="T86">
        <f>R86-S86</f>
        <v>5</v>
      </c>
      <c r="U86">
        <v>0</v>
      </c>
      <c r="V86">
        <f>T86-U86</f>
        <v>5</v>
      </c>
      <c r="W86">
        <v>0</v>
      </c>
      <c r="X86">
        <f>V86-W86</f>
        <v>5</v>
      </c>
      <c r="Y86">
        <v>0</v>
      </c>
      <c r="Z86">
        <f>X86-Y86</f>
        <v>5</v>
      </c>
      <c r="AA86">
        <v>0</v>
      </c>
      <c r="AB86">
        <f>Z86-AA86</f>
        <v>5</v>
      </c>
      <c r="AC86">
        <v>0</v>
      </c>
      <c r="AD86">
        <f>AB86-AC86</f>
        <v>5</v>
      </c>
      <c r="AE86">
        <v>0</v>
      </c>
      <c r="AF86">
        <f>AD86-AE86</f>
        <v>5</v>
      </c>
      <c r="AG86">
        <v>0</v>
      </c>
      <c r="AH86">
        <f>AF86-AG86</f>
        <v>5</v>
      </c>
      <c r="AI86">
        <v>0</v>
      </c>
      <c r="AJ86">
        <f>AH86-AI86</f>
        <v>5</v>
      </c>
      <c r="AK86">
        <v>1</v>
      </c>
      <c r="AL86">
        <f>AJ86-AK86</f>
        <v>4</v>
      </c>
      <c r="AM86">
        <v>2</v>
      </c>
      <c r="AN86">
        <f>AL86-AM86</f>
        <v>2</v>
      </c>
      <c r="AO86">
        <v>0</v>
      </c>
      <c r="AP86">
        <f>AN86-AO86</f>
        <v>2</v>
      </c>
      <c r="AR86">
        <f>AP86-AQ86</f>
        <v>2</v>
      </c>
      <c r="AT86">
        <f>AR86-AS86</f>
        <v>2</v>
      </c>
      <c r="AV86">
        <f>AT86-AU86</f>
        <v>2</v>
      </c>
      <c r="AX86">
        <f>AV86-AW86</f>
        <v>2</v>
      </c>
      <c r="AZ86" s="8">
        <f>AX86-AY86</f>
        <v>2</v>
      </c>
      <c r="BB86" s="21">
        <f>AY86+AW86+AU86+AS86+AQ86+AO86+AM86+AK86+AI86+AG86+AE86+AC86+AA86+Y86+W86+U86+S86+Q86+O86+M86+K86</f>
        <v>3</v>
      </c>
      <c r="BC86">
        <f>$BB86*D86</f>
        <v>0</v>
      </c>
      <c r="BD86">
        <f t="shared" si="74"/>
        <v>0</v>
      </c>
      <c r="BE86">
        <f t="shared" si="74"/>
        <v>0</v>
      </c>
      <c r="BF86" s="21">
        <f>$BB86*E86</f>
        <v>0</v>
      </c>
      <c r="BG86" s="21">
        <f>$BB86*H86</f>
        <v>3</v>
      </c>
    </row>
    <row r="87" spans="1:59">
      <c r="A87" s="47"/>
      <c r="B87" s="8"/>
      <c r="C87" s="36" t="s">
        <v>88</v>
      </c>
      <c r="D87" s="14">
        <v>0</v>
      </c>
      <c r="E87" s="14">
        <v>0</v>
      </c>
      <c r="F87" s="14">
        <v>0</v>
      </c>
      <c r="G87" s="14">
        <v>0</v>
      </c>
      <c r="H87" s="14">
        <v>1</v>
      </c>
      <c r="I87">
        <v>5</v>
      </c>
      <c r="J87">
        <f>I87</f>
        <v>5</v>
      </c>
      <c r="K87">
        <v>0</v>
      </c>
      <c r="L87">
        <f>J87-K87</f>
        <v>5</v>
      </c>
      <c r="M87">
        <v>0</v>
      </c>
      <c r="N87">
        <f>L87-M87</f>
        <v>5</v>
      </c>
      <c r="O87">
        <v>0</v>
      </c>
      <c r="P87">
        <f>N87-O87</f>
        <v>5</v>
      </c>
      <c r="Q87">
        <v>0</v>
      </c>
      <c r="R87">
        <f>P87-Q87</f>
        <v>5</v>
      </c>
      <c r="S87">
        <v>0</v>
      </c>
      <c r="T87">
        <f>R87-S87</f>
        <v>5</v>
      </c>
      <c r="U87">
        <v>0</v>
      </c>
      <c r="V87">
        <f>T87-U87</f>
        <v>5</v>
      </c>
      <c r="W87">
        <v>0</v>
      </c>
      <c r="X87">
        <f>V87-W87</f>
        <v>5</v>
      </c>
      <c r="Y87">
        <v>0</v>
      </c>
      <c r="Z87">
        <f>X87-Y87</f>
        <v>5</v>
      </c>
      <c r="AA87">
        <v>0</v>
      </c>
      <c r="AB87">
        <f>Z87-AA87</f>
        <v>5</v>
      </c>
      <c r="AC87">
        <v>0</v>
      </c>
      <c r="AD87">
        <f>AB87-AC87</f>
        <v>5</v>
      </c>
      <c r="AE87">
        <v>0</v>
      </c>
      <c r="AF87">
        <f>AD87-AE87</f>
        <v>5</v>
      </c>
      <c r="AG87">
        <v>0</v>
      </c>
      <c r="AH87">
        <f>AF87-AG87</f>
        <v>5</v>
      </c>
      <c r="AI87">
        <v>0</v>
      </c>
      <c r="AJ87">
        <f>AH87-AI87</f>
        <v>5</v>
      </c>
      <c r="AK87">
        <v>1</v>
      </c>
      <c r="AL87">
        <f>AJ87-AK87</f>
        <v>4</v>
      </c>
      <c r="AM87">
        <v>1</v>
      </c>
      <c r="AN87">
        <f>AL87-AM87</f>
        <v>3</v>
      </c>
      <c r="AO87">
        <v>0</v>
      </c>
      <c r="AP87">
        <f>AN87-AO87</f>
        <v>3</v>
      </c>
      <c r="AR87">
        <f>AP87-AQ87</f>
        <v>3</v>
      </c>
      <c r="AT87">
        <f>AR87-AS87</f>
        <v>3</v>
      </c>
      <c r="AV87">
        <f>AT87-AU87</f>
        <v>3</v>
      </c>
      <c r="AX87">
        <f>AV87-AW87</f>
        <v>3</v>
      </c>
      <c r="AZ87" s="8">
        <f>AX87-AY87</f>
        <v>3</v>
      </c>
      <c r="BB87" s="21">
        <f>AY87+AW87+AU87+AS87+AQ87+AO87+AM87+AK87+AI87+AG87+AE87+AC87+AA87+Y87+W87+U87+S87+Q87+O87+M87+K87</f>
        <v>2</v>
      </c>
      <c r="BC87">
        <f>$BB87*D87</f>
        <v>0</v>
      </c>
      <c r="BD87">
        <f t="shared" si="74"/>
        <v>0</v>
      </c>
      <c r="BE87">
        <f t="shared" si="74"/>
        <v>0</v>
      </c>
      <c r="BF87" s="21">
        <f>$BB87*E87</f>
        <v>0</v>
      </c>
      <c r="BG87" s="21">
        <f>$BB87*H87</f>
        <v>2</v>
      </c>
    </row>
    <row r="88" spans="1:59">
      <c r="A88" s="48"/>
      <c r="B88" s="9"/>
      <c r="C88" s="38" t="s">
        <v>89</v>
      </c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</row>
    <row r="89" spans="1:59">
      <c r="A89" s="48"/>
      <c r="B89" s="8">
        <v>16</v>
      </c>
      <c r="C89" s="35" t="s">
        <v>90</v>
      </c>
      <c r="D89" s="14">
        <v>0</v>
      </c>
      <c r="E89" s="14">
        <v>0</v>
      </c>
      <c r="F89" s="14">
        <v>0</v>
      </c>
      <c r="G89" s="14">
        <v>1</v>
      </c>
      <c r="H89" s="14">
        <v>0</v>
      </c>
      <c r="I89">
        <v>10</v>
      </c>
      <c r="J89">
        <f>I89</f>
        <v>10</v>
      </c>
      <c r="K89">
        <v>0</v>
      </c>
      <c r="L89">
        <f>J89-K89</f>
        <v>10</v>
      </c>
      <c r="M89">
        <v>0</v>
      </c>
      <c r="N89">
        <f>L89-M89</f>
        <v>10</v>
      </c>
      <c r="O89">
        <v>0</v>
      </c>
      <c r="P89">
        <f>N89-O89</f>
        <v>10</v>
      </c>
      <c r="Q89">
        <v>0</v>
      </c>
      <c r="R89">
        <f>P89-Q89</f>
        <v>10</v>
      </c>
      <c r="S89">
        <v>3</v>
      </c>
      <c r="T89">
        <f>R89-S89</f>
        <v>7</v>
      </c>
      <c r="U89">
        <v>3</v>
      </c>
      <c r="V89">
        <f>T89-U89</f>
        <v>4</v>
      </c>
      <c r="W89">
        <v>2</v>
      </c>
      <c r="X89">
        <v>0</v>
      </c>
      <c r="Y89">
        <v>0</v>
      </c>
      <c r="Z89">
        <v>0</v>
      </c>
      <c r="AA89">
        <v>0</v>
      </c>
      <c r="AB89">
        <f>Z89-AA89</f>
        <v>0</v>
      </c>
      <c r="AC89">
        <v>0</v>
      </c>
      <c r="AD89">
        <f>AB89-AC89</f>
        <v>0</v>
      </c>
      <c r="AE89">
        <v>0</v>
      </c>
      <c r="AF89">
        <f>AD89-AE89</f>
        <v>0</v>
      </c>
      <c r="AG89">
        <v>0</v>
      </c>
      <c r="AH89">
        <f>AF89-AG89</f>
        <v>0</v>
      </c>
      <c r="AI89">
        <v>0</v>
      </c>
      <c r="AJ89">
        <f>AH89-AI89</f>
        <v>0</v>
      </c>
      <c r="AK89">
        <v>0</v>
      </c>
      <c r="AL89">
        <f>AJ89-AK89</f>
        <v>0</v>
      </c>
      <c r="AM89">
        <v>0</v>
      </c>
      <c r="AN89">
        <f>AL89-AM89</f>
        <v>0</v>
      </c>
      <c r="AO89">
        <v>0</v>
      </c>
      <c r="AP89">
        <f>AN89-AO89</f>
        <v>0</v>
      </c>
      <c r="AQ89">
        <v>0</v>
      </c>
      <c r="AR89">
        <f>AP89-AQ89</f>
        <v>0</v>
      </c>
      <c r="AS89">
        <v>0</v>
      </c>
      <c r="AT89">
        <f>AR89-AS89</f>
        <v>0</v>
      </c>
      <c r="AU89">
        <v>0</v>
      </c>
      <c r="AV89">
        <f>AT89-AU89</f>
        <v>0</v>
      </c>
      <c r="AW89">
        <v>0</v>
      </c>
      <c r="AX89">
        <f>AV89-AW89</f>
        <v>0</v>
      </c>
      <c r="AY89">
        <v>0</v>
      </c>
      <c r="AZ89" s="8">
        <f>AX89-AY89</f>
        <v>0</v>
      </c>
      <c r="BB89" s="21">
        <f>AY89+AW89+AU89+AS89+AQ89+AO89+AM89+AK89+AI89+AG89+AE89+AC89+AA89+Y89+W89+U89+S89+Q89+O89+M89+K89</f>
        <v>8</v>
      </c>
      <c r="BC89">
        <f>$BB89*D89</f>
        <v>0</v>
      </c>
      <c r="BD89">
        <f t="shared" ref="BD89:BD92" si="75">BC89*F89</f>
        <v>0</v>
      </c>
      <c r="BE89">
        <f t="shared" ref="BE89:BE92" si="76">BD89*G89</f>
        <v>0</v>
      </c>
      <c r="BF89" s="21">
        <f>$BB89*E89</f>
        <v>0</v>
      </c>
      <c r="BG89" s="21">
        <f>$BB89*H89</f>
        <v>0</v>
      </c>
    </row>
    <row r="90" spans="1:59">
      <c r="A90" s="48"/>
      <c r="B90" s="8">
        <v>17</v>
      </c>
      <c r="C90" s="35" t="s">
        <v>91</v>
      </c>
      <c r="D90" s="14">
        <v>0</v>
      </c>
      <c r="E90" s="14">
        <v>0</v>
      </c>
      <c r="F90" s="14">
        <v>0</v>
      </c>
      <c r="G90" s="14">
        <v>1</v>
      </c>
      <c r="H90" s="14">
        <v>0</v>
      </c>
      <c r="I90">
        <v>6</v>
      </c>
      <c r="J90">
        <f>I90</f>
        <v>6</v>
      </c>
      <c r="K90">
        <v>0</v>
      </c>
      <c r="L90">
        <f>J90-K90</f>
        <v>6</v>
      </c>
      <c r="M90">
        <v>0</v>
      </c>
      <c r="N90">
        <f>L90-M90</f>
        <v>6</v>
      </c>
      <c r="O90">
        <v>0</v>
      </c>
      <c r="P90">
        <f>N90-O90</f>
        <v>6</v>
      </c>
      <c r="Q90">
        <v>0</v>
      </c>
      <c r="R90">
        <f>P90-Q90</f>
        <v>6</v>
      </c>
      <c r="S90">
        <v>0</v>
      </c>
      <c r="T90">
        <f>R90-S90</f>
        <v>6</v>
      </c>
      <c r="U90">
        <v>0</v>
      </c>
      <c r="V90">
        <v>0</v>
      </c>
      <c r="W90">
        <v>0</v>
      </c>
      <c r="X90">
        <v>6</v>
      </c>
      <c r="Y90">
        <v>2</v>
      </c>
      <c r="Z90">
        <f>X90-Y90</f>
        <v>4</v>
      </c>
      <c r="AA90">
        <v>1</v>
      </c>
      <c r="AB90">
        <f>Z90-AA90</f>
        <v>3</v>
      </c>
      <c r="AC90">
        <v>2</v>
      </c>
      <c r="AD90">
        <v>0</v>
      </c>
      <c r="AE90">
        <v>0</v>
      </c>
      <c r="AF90">
        <f>AD90-AE90</f>
        <v>0</v>
      </c>
      <c r="AG90">
        <v>0</v>
      </c>
      <c r="AH90">
        <f>AF90-AG90</f>
        <v>0</v>
      </c>
      <c r="AI90">
        <v>0</v>
      </c>
      <c r="AJ90">
        <f>AH90-AI90</f>
        <v>0</v>
      </c>
      <c r="AK90">
        <v>0</v>
      </c>
      <c r="AL90">
        <f>AJ90-AK90</f>
        <v>0</v>
      </c>
      <c r="AM90">
        <v>0</v>
      </c>
      <c r="AN90">
        <f>AL90-AM90</f>
        <v>0</v>
      </c>
      <c r="AO90">
        <v>0</v>
      </c>
      <c r="AP90">
        <f>AN90-AO90</f>
        <v>0</v>
      </c>
      <c r="AQ90">
        <v>0</v>
      </c>
      <c r="AR90">
        <f>AP90-AQ90</f>
        <v>0</v>
      </c>
      <c r="AS90">
        <v>0</v>
      </c>
      <c r="AT90">
        <f>AR90-AS90</f>
        <v>0</v>
      </c>
      <c r="AU90">
        <v>0</v>
      </c>
      <c r="AV90">
        <f>AT90-AU90</f>
        <v>0</v>
      </c>
      <c r="AW90">
        <v>0</v>
      </c>
      <c r="AX90">
        <f>AV90-AW90</f>
        <v>0</v>
      </c>
      <c r="AY90">
        <v>0</v>
      </c>
      <c r="AZ90" s="8">
        <f>AX90-AY90</f>
        <v>0</v>
      </c>
      <c r="BB90" s="21">
        <f>AY90+AW90+AU90+AS90+AQ90+AO90+AM90+AK90+AI90+AG90+AE90+AC90+AA90+Y90+W90+U90+S90+Q90+O90+M90+K90</f>
        <v>5</v>
      </c>
      <c r="BC90">
        <f>$BB90*D90</f>
        <v>0</v>
      </c>
      <c r="BD90">
        <f t="shared" si="75"/>
        <v>0</v>
      </c>
      <c r="BE90">
        <f t="shared" si="76"/>
        <v>0</v>
      </c>
      <c r="BF90" s="21">
        <f>$BB90*E90</f>
        <v>0</v>
      </c>
      <c r="BG90" s="21">
        <f>$BB90*H90</f>
        <v>0</v>
      </c>
    </row>
    <row r="91" spans="1:59">
      <c r="A91" s="48"/>
      <c r="B91" s="8">
        <v>18</v>
      </c>
      <c r="C91" s="36" t="s">
        <v>92</v>
      </c>
      <c r="D91" s="14">
        <v>0</v>
      </c>
      <c r="E91" s="14">
        <v>0</v>
      </c>
      <c r="F91" s="14">
        <v>0</v>
      </c>
      <c r="G91" s="14">
        <v>1</v>
      </c>
      <c r="H91" s="14">
        <v>0</v>
      </c>
      <c r="I91">
        <v>6</v>
      </c>
      <c r="J91">
        <f>I91</f>
        <v>6</v>
      </c>
      <c r="K91">
        <v>0</v>
      </c>
      <c r="L91">
        <f>J91-K91</f>
        <v>6</v>
      </c>
      <c r="M91">
        <v>0</v>
      </c>
      <c r="N91">
        <f>L91-M91</f>
        <v>6</v>
      </c>
      <c r="O91">
        <v>0</v>
      </c>
      <c r="P91">
        <f>N91-O91</f>
        <v>6</v>
      </c>
      <c r="Q91">
        <v>0</v>
      </c>
      <c r="R91">
        <f>P91-Q91</f>
        <v>6</v>
      </c>
      <c r="S91">
        <v>0</v>
      </c>
      <c r="T91">
        <f>R91-S91</f>
        <v>6</v>
      </c>
      <c r="U91">
        <v>0</v>
      </c>
      <c r="V91">
        <v>6</v>
      </c>
      <c r="W91">
        <v>0</v>
      </c>
      <c r="X91">
        <v>6</v>
      </c>
      <c r="Y91">
        <v>0</v>
      </c>
      <c r="Z91">
        <f>X91-Y91</f>
        <v>6</v>
      </c>
      <c r="AA91">
        <v>0</v>
      </c>
      <c r="AB91">
        <f>Z91-AA91</f>
        <v>6</v>
      </c>
      <c r="AC91">
        <v>0</v>
      </c>
      <c r="AD91">
        <f>AB91-AC91</f>
        <v>6</v>
      </c>
      <c r="AE91">
        <v>2</v>
      </c>
      <c r="AF91">
        <f>AD91-AE91</f>
        <v>4</v>
      </c>
      <c r="AG91">
        <v>3</v>
      </c>
      <c r="AH91">
        <v>0</v>
      </c>
      <c r="AI91">
        <v>0</v>
      </c>
      <c r="AJ91">
        <f>AH91-AI91</f>
        <v>0</v>
      </c>
      <c r="AK91">
        <v>0</v>
      </c>
      <c r="AL91">
        <f>AJ91-AK91</f>
        <v>0</v>
      </c>
      <c r="AM91">
        <v>0</v>
      </c>
      <c r="AN91">
        <f>AL91-AM91</f>
        <v>0</v>
      </c>
      <c r="AO91">
        <v>0</v>
      </c>
      <c r="AP91">
        <f>AN91-AO91</f>
        <v>0</v>
      </c>
      <c r="AQ91">
        <v>0</v>
      </c>
      <c r="AR91">
        <f>AP91-AQ91</f>
        <v>0</v>
      </c>
      <c r="AS91">
        <v>0</v>
      </c>
      <c r="AT91">
        <f>AR91-AS91</f>
        <v>0</v>
      </c>
      <c r="AU91">
        <v>0</v>
      </c>
      <c r="AV91">
        <f>AT91-AU91</f>
        <v>0</v>
      </c>
      <c r="AW91">
        <v>0</v>
      </c>
      <c r="AX91">
        <f>AV91-AW91</f>
        <v>0</v>
      </c>
      <c r="AY91">
        <v>0</v>
      </c>
      <c r="AZ91" s="8">
        <f>AX91-AY91</f>
        <v>0</v>
      </c>
      <c r="BB91" s="21">
        <f>AY91+AW91+AU91+AS91+AQ91+AO91+AM91+AK91+AI91+AG91+AE91+AC91+AA91+Y91+W91+U91+S91+Q91+O91+M91+K91</f>
        <v>5</v>
      </c>
      <c r="BC91">
        <f>$BB91*D91</f>
        <v>0</v>
      </c>
      <c r="BD91">
        <f t="shared" si="75"/>
        <v>0</v>
      </c>
      <c r="BE91">
        <f t="shared" si="76"/>
        <v>0</v>
      </c>
      <c r="BF91" s="21">
        <f>$BB91*E91</f>
        <v>0</v>
      </c>
      <c r="BG91" s="21">
        <f>$BB91*H91</f>
        <v>0</v>
      </c>
    </row>
    <row r="92" spans="1:59">
      <c r="A92" s="48"/>
      <c r="B92" s="8">
        <v>19</v>
      </c>
      <c r="C92" s="41" t="s">
        <v>93</v>
      </c>
      <c r="D92" s="14">
        <v>0</v>
      </c>
      <c r="E92" s="14">
        <v>0</v>
      </c>
      <c r="F92" s="14">
        <v>0</v>
      </c>
      <c r="G92" s="14">
        <v>1</v>
      </c>
      <c r="H92" s="14">
        <v>0</v>
      </c>
      <c r="I92">
        <v>15</v>
      </c>
      <c r="J92">
        <f>I92</f>
        <v>15</v>
      </c>
      <c r="K92">
        <v>0</v>
      </c>
      <c r="L92">
        <f>J92-K92</f>
        <v>15</v>
      </c>
      <c r="M92">
        <v>0</v>
      </c>
      <c r="N92">
        <f>L92-M92</f>
        <v>15</v>
      </c>
      <c r="O92">
        <v>0</v>
      </c>
      <c r="P92">
        <f>N92-O92</f>
        <v>15</v>
      </c>
      <c r="Q92">
        <v>0</v>
      </c>
      <c r="R92">
        <f>P92-Q92</f>
        <v>15</v>
      </c>
      <c r="S92">
        <v>0</v>
      </c>
      <c r="T92">
        <f>R92-S92</f>
        <v>15</v>
      </c>
      <c r="U92">
        <v>0</v>
      </c>
      <c r="V92">
        <f>T92-U92</f>
        <v>15</v>
      </c>
      <c r="W92">
        <v>0</v>
      </c>
      <c r="X92">
        <f>V92-W92</f>
        <v>15</v>
      </c>
      <c r="Y92">
        <v>0</v>
      </c>
      <c r="Z92">
        <f>X92-Y92</f>
        <v>15</v>
      </c>
      <c r="AA92">
        <v>0</v>
      </c>
      <c r="AB92">
        <f>Z92-AA92</f>
        <v>15</v>
      </c>
      <c r="AC92">
        <v>0</v>
      </c>
      <c r="AD92">
        <f>AB92-AC92</f>
        <v>15</v>
      </c>
      <c r="AE92">
        <v>0</v>
      </c>
      <c r="AF92">
        <f>AD92-AE92</f>
        <v>15</v>
      </c>
      <c r="AG92">
        <v>0</v>
      </c>
      <c r="AH92">
        <f>AF92-AG92</f>
        <v>15</v>
      </c>
      <c r="AI92">
        <v>1</v>
      </c>
      <c r="AJ92">
        <f>AH92-AI92</f>
        <v>14</v>
      </c>
      <c r="AK92">
        <v>0</v>
      </c>
      <c r="AL92">
        <f>AJ92-AK92</f>
        <v>14</v>
      </c>
      <c r="AN92">
        <f>AL92-AM92</f>
        <v>14</v>
      </c>
      <c r="AP92">
        <f>AN92-AO92</f>
        <v>14</v>
      </c>
      <c r="AR92">
        <f>AP92-AQ92</f>
        <v>14</v>
      </c>
      <c r="AT92">
        <f>AR92-AS92</f>
        <v>14</v>
      </c>
      <c r="AV92">
        <f>AT92-AU92</f>
        <v>14</v>
      </c>
      <c r="AX92">
        <f>AV92-AW92</f>
        <v>14</v>
      </c>
      <c r="AZ92" s="8">
        <f>AX92-AY92</f>
        <v>14</v>
      </c>
      <c r="BB92" s="21">
        <f>AY92+AW92+AU92+AS92+AQ92+AO92+AM92+AK92+AI92+AG92+AE92+AC92+AA92+Y92+W92+U92+S92+Q92+O92+M92+K92</f>
        <v>1</v>
      </c>
      <c r="BC92">
        <f>$BB92*D92</f>
        <v>0</v>
      </c>
      <c r="BD92">
        <f t="shared" si="75"/>
        <v>0</v>
      </c>
      <c r="BE92">
        <f t="shared" si="76"/>
        <v>0</v>
      </c>
      <c r="BF92" s="21">
        <f>$BB92*E92</f>
        <v>0</v>
      </c>
      <c r="BG92" s="21">
        <f>$BB92*H92</f>
        <v>0</v>
      </c>
    </row>
    <row r="93" spans="1:59" ht="24">
      <c r="A93" s="47"/>
      <c r="B93" s="9">
        <v>20</v>
      </c>
      <c r="C93" s="43" t="s">
        <v>94</v>
      </c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</row>
    <row r="94" spans="1:59" ht="27.75">
      <c r="A94" s="47"/>
      <c r="B94" s="8"/>
      <c r="C94" s="42" t="s">
        <v>95</v>
      </c>
      <c r="D94" s="14">
        <v>0</v>
      </c>
      <c r="E94" s="14">
        <v>0</v>
      </c>
      <c r="F94" s="14">
        <v>1</v>
      </c>
      <c r="G94" s="14">
        <v>0</v>
      </c>
      <c r="H94" s="14">
        <v>0</v>
      </c>
      <c r="I94">
        <v>6</v>
      </c>
      <c r="J94">
        <f>I94</f>
        <v>6</v>
      </c>
      <c r="L94">
        <f>J94-K94</f>
        <v>6</v>
      </c>
      <c r="N94">
        <f>L94-M94</f>
        <v>6</v>
      </c>
      <c r="P94">
        <f>N94-O94</f>
        <v>6</v>
      </c>
      <c r="R94">
        <f>P94-Q94</f>
        <v>6</v>
      </c>
      <c r="T94">
        <f>R94-S94</f>
        <v>6</v>
      </c>
      <c r="V94">
        <f>T94-U94</f>
        <v>6</v>
      </c>
      <c r="X94">
        <f>V94-W94</f>
        <v>6</v>
      </c>
      <c r="Z94">
        <f>X94-Y94</f>
        <v>6</v>
      </c>
      <c r="AB94">
        <f>Z94-AA94</f>
        <v>6</v>
      </c>
      <c r="AD94">
        <f>AB94-AC94</f>
        <v>6</v>
      </c>
      <c r="AF94">
        <f>AD94-AE94</f>
        <v>6</v>
      </c>
      <c r="AH94">
        <f>AF94-AG94</f>
        <v>6</v>
      </c>
      <c r="AJ94">
        <f>AH94-AI94</f>
        <v>6</v>
      </c>
      <c r="AL94">
        <f>AJ94-AK94</f>
        <v>6</v>
      </c>
      <c r="AN94">
        <f>AL94-AM94</f>
        <v>6</v>
      </c>
      <c r="AP94">
        <f>AN94-AO94</f>
        <v>6</v>
      </c>
      <c r="AR94">
        <f>AP94-AQ94</f>
        <v>6</v>
      </c>
      <c r="AT94">
        <f>AR94-AS94</f>
        <v>6</v>
      </c>
      <c r="AV94">
        <f>AT94-AU94</f>
        <v>6</v>
      </c>
      <c r="AX94">
        <f>AV94-AW94</f>
        <v>6</v>
      </c>
      <c r="AZ94" s="8">
        <f>AX94-AY94</f>
        <v>6</v>
      </c>
      <c r="BB94" s="21">
        <f>AY94+AW94+AU94+AS94+AQ94+AO94+AM94+AK94+AI94+AG94+AE94+AC94+AA94+Y94+W94+U94+S94+Q94+O94+M94+K94</f>
        <v>0</v>
      </c>
      <c r="BC94">
        <f>$BB94*D94</f>
        <v>0</v>
      </c>
      <c r="BD94">
        <f t="shared" ref="BD94:BE96" si="77">BC94*F94</f>
        <v>0</v>
      </c>
      <c r="BE94">
        <f t="shared" si="77"/>
        <v>0</v>
      </c>
      <c r="BF94" s="21">
        <f>$BB94*E94</f>
        <v>0</v>
      </c>
      <c r="BG94" s="21">
        <f>$BB94*H94</f>
        <v>0</v>
      </c>
    </row>
    <row r="95" spans="1:59" ht="27.75">
      <c r="A95" s="47"/>
      <c r="B95" s="8"/>
      <c r="C95" s="42" t="s">
        <v>96</v>
      </c>
      <c r="D95" s="14">
        <v>0</v>
      </c>
      <c r="E95" s="14">
        <v>0</v>
      </c>
      <c r="F95" s="14">
        <v>1</v>
      </c>
      <c r="G95" s="14">
        <v>0</v>
      </c>
      <c r="H95" s="14">
        <v>0</v>
      </c>
      <c r="I95">
        <v>10</v>
      </c>
      <c r="J95">
        <f>I95</f>
        <v>10</v>
      </c>
      <c r="L95">
        <f>J95-K95</f>
        <v>10</v>
      </c>
      <c r="N95">
        <f>L95-M95</f>
        <v>10</v>
      </c>
      <c r="P95">
        <f>N95-O95</f>
        <v>10</v>
      </c>
      <c r="R95">
        <f>P95-Q95</f>
        <v>10</v>
      </c>
      <c r="T95">
        <f>R95-S95</f>
        <v>10</v>
      </c>
      <c r="V95">
        <f>T95-U95</f>
        <v>10</v>
      </c>
      <c r="X95">
        <f>V95-W95</f>
        <v>10</v>
      </c>
      <c r="Z95">
        <f>X95-Y95</f>
        <v>10</v>
      </c>
      <c r="AB95">
        <f>Z95-AA95</f>
        <v>10</v>
      </c>
      <c r="AD95">
        <f>AB95-AC95</f>
        <v>10</v>
      </c>
      <c r="AF95">
        <f>AD95-AE95</f>
        <v>10</v>
      </c>
      <c r="AH95">
        <f>AF95-AG95</f>
        <v>10</v>
      </c>
      <c r="AJ95">
        <f>AH95-AI95</f>
        <v>10</v>
      </c>
      <c r="AL95">
        <f>AJ95-AK95</f>
        <v>10</v>
      </c>
      <c r="AN95">
        <f>AL95-AM95</f>
        <v>10</v>
      </c>
      <c r="AP95">
        <f>AN95-AO95</f>
        <v>10</v>
      </c>
      <c r="AR95">
        <f>AP95-AQ95</f>
        <v>10</v>
      </c>
      <c r="AT95">
        <f>AR95-AS95</f>
        <v>10</v>
      </c>
      <c r="AV95">
        <f>AT95-AU95</f>
        <v>10</v>
      </c>
      <c r="AX95">
        <f>AV95-AW95</f>
        <v>10</v>
      </c>
      <c r="AZ95" s="8">
        <f>AX95-AY95</f>
        <v>10</v>
      </c>
      <c r="BB95" s="21">
        <f>AY95+AW95+AU95+AS95+AQ95+AO95+AM95+AK95+AI95+AG95+AE95+AC95+AA95+Y95+W95+U95+S95+Q95+O95+M95+K95</f>
        <v>0</v>
      </c>
      <c r="BC95">
        <f>$BB95*D95</f>
        <v>0</v>
      </c>
      <c r="BD95">
        <f t="shared" si="77"/>
        <v>0</v>
      </c>
      <c r="BE95">
        <f t="shared" si="77"/>
        <v>0</v>
      </c>
      <c r="BF95" s="21">
        <f>$BB95*E95</f>
        <v>0</v>
      </c>
      <c r="BG95" s="21">
        <f>$BB95*H95</f>
        <v>0</v>
      </c>
    </row>
    <row r="96" spans="1:59" ht="27.75">
      <c r="A96" s="47"/>
      <c r="B96" s="8"/>
      <c r="C96" s="46" t="s">
        <v>97</v>
      </c>
      <c r="D96" s="14">
        <v>0</v>
      </c>
      <c r="E96" s="14">
        <v>0</v>
      </c>
      <c r="F96" s="14">
        <v>1</v>
      </c>
      <c r="G96" s="14">
        <v>0</v>
      </c>
      <c r="H96" s="14">
        <v>0</v>
      </c>
      <c r="I96">
        <v>6</v>
      </c>
      <c r="J96">
        <f>I96</f>
        <v>6</v>
      </c>
      <c r="L96">
        <f>J96-K96</f>
        <v>6</v>
      </c>
      <c r="N96">
        <f>L96-M96</f>
        <v>6</v>
      </c>
      <c r="P96">
        <f>N96-O96</f>
        <v>6</v>
      </c>
      <c r="R96">
        <f>P96-Q96</f>
        <v>6</v>
      </c>
      <c r="T96">
        <f>R96-S96</f>
        <v>6</v>
      </c>
      <c r="V96">
        <f>T96-U96</f>
        <v>6</v>
      </c>
      <c r="X96">
        <f>V96-W96</f>
        <v>6</v>
      </c>
      <c r="Z96">
        <f>X96-Y96</f>
        <v>6</v>
      </c>
      <c r="AB96">
        <f>Z96-AA96</f>
        <v>6</v>
      </c>
      <c r="AD96">
        <f>AB96-AC96</f>
        <v>6</v>
      </c>
      <c r="AF96">
        <f>AD96-AE96</f>
        <v>6</v>
      </c>
      <c r="AH96">
        <f>AF96-AG96</f>
        <v>6</v>
      </c>
      <c r="AJ96">
        <f>AH96-AI96</f>
        <v>6</v>
      </c>
      <c r="AL96">
        <f>AJ96-AK96</f>
        <v>6</v>
      </c>
      <c r="AN96">
        <f>AL96-AM96</f>
        <v>6</v>
      </c>
      <c r="AP96">
        <f>AN96-AO96</f>
        <v>6</v>
      </c>
      <c r="AR96">
        <f>AP96-AQ96</f>
        <v>6</v>
      </c>
      <c r="AT96">
        <f>AR96-AS96</f>
        <v>6</v>
      </c>
      <c r="AV96">
        <f>AT96-AU96</f>
        <v>6</v>
      </c>
      <c r="AX96">
        <f>AV96-AW96</f>
        <v>6</v>
      </c>
      <c r="AZ96" s="8">
        <f>AX96-AY96</f>
        <v>6</v>
      </c>
      <c r="BB96" s="21">
        <f>AY96+AW96+AU96+AS96+AQ96+AO96+AM96+AK96+AI96+AG96+AE96+AC96+AA96+Y96+W96+U96+S96+Q96+O96+M96+K96</f>
        <v>0</v>
      </c>
      <c r="BC96">
        <f>$BB96*D96</f>
        <v>0</v>
      </c>
      <c r="BD96">
        <f t="shared" si="77"/>
        <v>0</v>
      </c>
      <c r="BE96">
        <f t="shared" si="77"/>
        <v>0</v>
      </c>
      <c r="BF96" s="21">
        <f>$BB96*E96</f>
        <v>0</v>
      </c>
      <c r="BG96" s="21">
        <f>$BB96*H96</f>
        <v>0</v>
      </c>
    </row>
    <row r="97" spans="1:59">
      <c r="A97" s="47"/>
      <c r="B97" s="9">
        <v>21</v>
      </c>
      <c r="C97" s="38" t="s">
        <v>98</v>
      </c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</row>
    <row r="98" spans="1:59">
      <c r="A98" s="47"/>
      <c r="B98" s="8"/>
      <c r="C98" s="35" t="s">
        <v>99</v>
      </c>
      <c r="D98" s="14">
        <v>0</v>
      </c>
      <c r="E98" s="14">
        <v>1</v>
      </c>
      <c r="F98" s="14">
        <v>0</v>
      </c>
      <c r="G98" s="14">
        <v>0</v>
      </c>
      <c r="H98" s="14">
        <v>0</v>
      </c>
      <c r="I98">
        <v>10</v>
      </c>
      <c r="J98">
        <f>I98</f>
        <v>10</v>
      </c>
      <c r="K98">
        <v>0</v>
      </c>
      <c r="L98">
        <f>J98-K98</f>
        <v>10</v>
      </c>
      <c r="M98">
        <v>0</v>
      </c>
      <c r="N98">
        <f>L98-M98</f>
        <v>10</v>
      </c>
      <c r="O98">
        <v>0</v>
      </c>
      <c r="P98">
        <f>N98-O98</f>
        <v>10</v>
      </c>
      <c r="Q98">
        <v>0</v>
      </c>
      <c r="R98">
        <f>P98-Q98</f>
        <v>10</v>
      </c>
      <c r="S98">
        <v>0</v>
      </c>
      <c r="T98">
        <f>R98-S98</f>
        <v>10</v>
      </c>
      <c r="U98">
        <v>0</v>
      </c>
      <c r="V98">
        <f>T98-U98</f>
        <v>10</v>
      </c>
      <c r="W98">
        <v>0</v>
      </c>
      <c r="X98">
        <f>V98-W98</f>
        <v>10</v>
      </c>
      <c r="Y98">
        <v>0</v>
      </c>
      <c r="Z98">
        <f>X98-Y98</f>
        <v>10</v>
      </c>
      <c r="AA98">
        <v>0</v>
      </c>
      <c r="AB98">
        <f>Z98-AA98</f>
        <v>10</v>
      </c>
      <c r="AC98">
        <v>0</v>
      </c>
      <c r="AD98">
        <f>AB98-AC98</f>
        <v>10</v>
      </c>
      <c r="AE98">
        <v>0</v>
      </c>
      <c r="AF98">
        <f>AD98-AE98</f>
        <v>10</v>
      </c>
      <c r="AG98">
        <v>3</v>
      </c>
      <c r="AH98">
        <f>AF98-AG98</f>
        <v>7</v>
      </c>
      <c r="AI98">
        <v>4</v>
      </c>
      <c r="AJ98">
        <v>3</v>
      </c>
      <c r="AK98">
        <v>2</v>
      </c>
      <c r="AL98">
        <v>0</v>
      </c>
      <c r="AN98">
        <f>AL98-AM98</f>
        <v>0</v>
      </c>
      <c r="AP98">
        <f>AN98-AO98</f>
        <v>0</v>
      </c>
      <c r="AR98">
        <f>AP98-AQ98</f>
        <v>0</v>
      </c>
      <c r="AT98">
        <f>AR98-AS98</f>
        <v>0</v>
      </c>
      <c r="AV98">
        <f>AT98-AU98</f>
        <v>0</v>
      </c>
      <c r="AX98">
        <f>AV98-AW98</f>
        <v>0</v>
      </c>
      <c r="AZ98" s="8">
        <f>AX98-AY98</f>
        <v>0</v>
      </c>
      <c r="BB98" s="21">
        <f>AY98+AW98+AU98+AS98+AQ98+AO98+AM98+AK98+AI98+AG98+AE98+AC98+AA98+Y98+W98+U98+S98+Q98+O98+M98+K98</f>
        <v>9</v>
      </c>
      <c r="BC98">
        <f>$BB98*D98</f>
        <v>0</v>
      </c>
      <c r="BD98">
        <f>BC98*F98</f>
        <v>0</v>
      </c>
      <c r="BE98">
        <f>BD98*G98</f>
        <v>0</v>
      </c>
      <c r="BF98" s="21">
        <f>$BB98*E98</f>
        <v>9</v>
      </c>
      <c r="BG98" s="21">
        <f>$BB98*H98</f>
        <v>0</v>
      </c>
    </row>
    <row r="99" spans="1:59">
      <c r="A99" s="47"/>
      <c r="B99" s="9">
        <v>22</v>
      </c>
      <c r="C99" s="38" t="s">
        <v>98</v>
      </c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</row>
    <row r="100" spans="1:59">
      <c r="A100" s="47"/>
      <c r="B100" s="8"/>
      <c r="C100" s="35" t="s">
        <v>100</v>
      </c>
      <c r="D100" s="14">
        <v>0</v>
      </c>
      <c r="E100" s="14">
        <v>1</v>
      </c>
      <c r="F100" s="14">
        <v>0</v>
      </c>
      <c r="G100" s="14">
        <v>0</v>
      </c>
      <c r="H100" s="14">
        <v>0</v>
      </c>
      <c r="I100">
        <v>8</v>
      </c>
      <c r="J100">
        <f>I100</f>
        <v>8</v>
      </c>
      <c r="K100">
        <v>0</v>
      </c>
      <c r="L100">
        <f>J100-K100</f>
        <v>8</v>
      </c>
      <c r="M100">
        <v>0</v>
      </c>
      <c r="N100">
        <f>L100-M100</f>
        <v>8</v>
      </c>
      <c r="O100">
        <v>0</v>
      </c>
      <c r="P100">
        <f>N100-O100</f>
        <v>8</v>
      </c>
      <c r="Q100">
        <v>0</v>
      </c>
      <c r="R100">
        <f>P100-Q100</f>
        <v>8</v>
      </c>
      <c r="S100">
        <v>0</v>
      </c>
      <c r="T100">
        <f>R100-S100</f>
        <v>8</v>
      </c>
      <c r="U100">
        <v>0</v>
      </c>
      <c r="V100">
        <f>T100-U100</f>
        <v>8</v>
      </c>
      <c r="W100">
        <v>0</v>
      </c>
      <c r="X100">
        <f>V100-W100</f>
        <v>8</v>
      </c>
      <c r="Y100">
        <v>0</v>
      </c>
      <c r="Z100">
        <f>X100-Y100</f>
        <v>8</v>
      </c>
      <c r="AA100">
        <v>0</v>
      </c>
      <c r="AB100">
        <f>Z100-AA100</f>
        <v>8</v>
      </c>
      <c r="AC100">
        <v>0</v>
      </c>
      <c r="AD100">
        <f>AB100-AC100</f>
        <v>8</v>
      </c>
      <c r="AE100">
        <v>0</v>
      </c>
      <c r="AF100">
        <f>AD100-AE100</f>
        <v>8</v>
      </c>
      <c r="AG100">
        <v>2</v>
      </c>
      <c r="AH100">
        <f>AF100-AG100</f>
        <v>6</v>
      </c>
      <c r="AI100">
        <v>2</v>
      </c>
      <c r="AJ100">
        <f>AH100-AI100</f>
        <v>4</v>
      </c>
      <c r="AK100">
        <v>1</v>
      </c>
      <c r="AL100">
        <v>0</v>
      </c>
      <c r="AN100">
        <f>AL100-AM100</f>
        <v>0</v>
      </c>
      <c r="AP100">
        <f>AN100-AO100</f>
        <v>0</v>
      </c>
      <c r="AR100">
        <f>AP100-AQ100</f>
        <v>0</v>
      </c>
      <c r="AT100">
        <f>AR100-AS100</f>
        <v>0</v>
      </c>
      <c r="AV100">
        <f>AT100-AU100</f>
        <v>0</v>
      </c>
      <c r="AX100">
        <f>AV100-AW100</f>
        <v>0</v>
      </c>
      <c r="AZ100" s="8">
        <f>AX100-AY100</f>
        <v>0</v>
      </c>
      <c r="BB100" s="21">
        <f>AY100+AW100+AU100+AS100+AQ100+AO100+AM100+AK100+AI100+AG100+AE100+AC100+AA100+Y100+W100+U100+S100+Q100+O100+M100+K100</f>
        <v>5</v>
      </c>
      <c r="BC100">
        <f>$BB100*D100</f>
        <v>0</v>
      </c>
      <c r="BD100">
        <f>BC100*F100</f>
        <v>0</v>
      </c>
      <c r="BE100">
        <f>BD100*G100</f>
        <v>0</v>
      </c>
      <c r="BF100" s="21">
        <f>$BB100*E100</f>
        <v>5</v>
      </c>
      <c r="BG100" s="21">
        <f>$BB100*H100</f>
        <v>0</v>
      </c>
    </row>
    <row r="101" spans="1:59">
      <c r="A101" s="47"/>
      <c r="B101" s="9">
        <v>23</v>
      </c>
      <c r="C101" s="38" t="s">
        <v>98</v>
      </c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</row>
    <row r="102" spans="1:59">
      <c r="A102" s="47"/>
      <c r="B102" s="8"/>
      <c r="C102" s="35" t="s">
        <v>101</v>
      </c>
      <c r="D102" s="14">
        <v>0</v>
      </c>
      <c r="E102" s="14">
        <v>1</v>
      </c>
      <c r="F102" s="14">
        <v>0</v>
      </c>
      <c r="G102" s="14">
        <v>0</v>
      </c>
      <c r="H102" s="14">
        <v>0</v>
      </c>
      <c r="I102">
        <v>8</v>
      </c>
      <c r="J102">
        <f>I102</f>
        <v>8</v>
      </c>
      <c r="K102">
        <v>0</v>
      </c>
      <c r="L102">
        <f>J102-K102</f>
        <v>8</v>
      </c>
      <c r="M102">
        <v>0</v>
      </c>
      <c r="N102">
        <f>L102-M102</f>
        <v>8</v>
      </c>
      <c r="O102">
        <v>0</v>
      </c>
      <c r="P102">
        <f>N102-O102</f>
        <v>8</v>
      </c>
      <c r="Q102">
        <v>0</v>
      </c>
      <c r="R102">
        <f>P102-Q102</f>
        <v>8</v>
      </c>
      <c r="S102">
        <v>0</v>
      </c>
      <c r="T102">
        <f>R102-S102</f>
        <v>8</v>
      </c>
      <c r="U102">
        <v>0</v>
      </c>
      <c r="V102">
        <f>T102-U102</f>
        <v>8</v>
      </c>
      <c r="W102">
        <v>0</v>
      </c>
      <c r="X102">
        <f>V102-W102</f>
        <v>8</v>
      </c>
      <c r="Y102">
        <v>0</v>
      </c>
      <c r="Z102">
        <v>8</v>
      </c>
      <c r="AA102">
        <v>0</v>
      </c>
      <c r="AB102">
        <f>Z102-AA102</f>
        <v>8</v>
      </c>
      <c r="AC102">
        <v>0</v>
      </c>
      <c r="AD102">
        <f>AB102-AC102</f>
        <v>8</v>
      </c>
      <c r="AE102">
        <v>0</v>
      </c>
      <c r="AF102">
        <f>AD102-AE102</f>
        <v>8</v>
      </c>
      <c r="AG102">
        <v>3</v>
      </c>
      <c r="AH102">
        <f>AF102-AG102</f>
        <v>5</v>
      </c>
      <c r="AI102">
        <v>2</v>
      </c>
      <c r="AJ102">
        <v>1</v>
      </c>
      <c r="AK102">
        <v>1</v>
      </c>
      <c r="AL102">
        <f>AJ102-AK102</f>
        <v>0</v>
      </c>
      <c r="AN102">
        <f>AL102-AM102</f>
        <v>0</v>
      </c>
      <c r="AP102">
        <f>AN102-AO102</f>
        <v>0</v>
      </c>
      <c r="AR102">
        <f>AP102-AQ102</f>
        <v>0</v>
      </c>
      <c r="AT102">
        <f>AR102-AS102</f>
        <v>0</v>
      </c>
      <c r="AV102">
        <f>AT102-AU102</f>
        <v>0</v>
      </c>
      <c r="AX102">
        <f>AV102-AW102</f>
        <v>0</v>
      </c>
      <c r="AZ102" s="8">
        <f>AX102-AY102</f>
        <v>0</v>
      </c>
      <c r="BB102" s="21">
        <f>AY102+AW102+AU102+AS102+AQ102+AO102+AM102+AK102+AI102+AG102+AE102+AC102+AA102+Y102+W102+U102+S102+Q102+O102+M102+K102</f>
        <v>6</v>
      </c>
      <c r="BC102">
        <f>$BB102*D102</f>
        <v>0</v>
      </c>
      <c r="BD102">
        <f>BC102*F102</f>
        <v>0</v>
      </c>
      <c r="BE102">
        <f>BD102*G102</f>
        <v>0</v>
      </c>
      <c r="BF102" s="21">
        <f>$BB102*E102</f>
        <v>6</v>
      </c>
      <c r="BG102" s="21">
        <f>$BB102*H102</f>
        <v>0</v>
      </c>
    </row>
    <row r="103" spans="1:59">
      <c r="A103" s="47"/>
      <c r="B103" s="9">
        <v>24</v>
      </c>
      <c r="C103" s="38" t="s">
        <v>98</v>
      </c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</row>
    <row r="104" spans="1:59">
      <c r="A104" s="47"/>
      <c r="B104" s="8"/>
      <c r="C104" s="36" t="s">
        <v>102</v>
      </c>
      <c r="D104" s="14">
        <v>0</v>
      </c>
      <c r="E104" s="14">
        <v>1</v>
      </c>
      <c r="F104" s="14">
        <v>0</v>
      </c>
      <c r="G104" s="14">
        <v>0</v>
      </c>
      <c r="H104" s="14">
        <v>0</v>
      </c>
      <c r="I104">
        <v>6</v>
      </c>
      <c r="J104">
        <f>I104</f>
        <v>6</v>
      </c>
      <c r="K104">
        <v>0</v>
      </c>
      <c r="L104">
        <f>J104-K104</f>
        <v>6</v>
      </c>
      <c r="M104">
        <v>0</v>
      </c>
      <c r="N104">
        <f>L104-M104</f>
        <v>6</v>
      </c>
      <c r="O104">
        <v>0</v>
      </c>
      <c r="P104">
        <f>N104-O104</f>
        <v>6</v>
      </c>
      <c r="Q104">
        <v>0</v>
      </c>
      <c r="R104">
        <f>P104-Q104</f>
        <v>6</v>
      </c>
      <c r="S104">
        <v>0</v>
      </c>
      <c r="T104">
        <f>R104-S104</f>
        <v>6</v>
      </c>
      <c r="U104">
        <v>0</v>
      </c>
      <c r="V104">
        <f>T104-U104</f>
        <v>6</v>
      </c>
      <c r="W104">
        <v>0</v>
      </c>
      <c r="X104">
        <f>V104-W104</f>
        <v>6</v>
      </c>
      <c r="Y104">
        <v>0</v>
      </c>
      <c r="Z104">
        <f>X104-Y104</f>
        <v>6</v>
      </c>
      <c r="AA104">
        <v>0</v>
      </c>
      <c r="AB104">
        <f>Z104-AA104</f>
        <v>6</v>
      </c>
      <c r="AC104">
        <v>0</v>
      </c>
      <c r="AD104">
        <f>AB104-AC104</f>
        <v>6</v>
      </c>
      <c r="AE104">
        <v>0</v>
      </c>
      <c r="AF104">
        <f>AD104-AE104</f>
        <v>6</v>
      </c>
      <c r="AG104">
        <v>4</v>
      </c>
      <c r="AH104">
        <f>AF104-AG104</f>
        <v>2</v>
      </c>
      <c r="AI104">
        <v>2</v>
      </c>
      <c r="AJ104">
        <v>0</v>
      </c>
      <c r="AL104">
        <f>AJ104-AK104</f>
        <v>0</v>
      </c>
      <c r="AN104">
        <f>AL104-AM104</f>
        <v>0</v>
      </c>
      <c r="AP104">
        <f>AN104-AO104</f>
        <v>0</v>
      </c>
      <c r="AR104">
        <f>AP104-AQ104</f>
        <v>0</v>
      </c>
      <c r="AT104">
        <f>AR104-AS104</f>
        <v>0</v>
      </c>
      <c r="AV104">
        <f>AT104-AU104</f>
        <v>0</v>
      </c>
      <c r="AX104">
        <f>AV104-AW104</f>
        <v>0</v>
      </c>
      <c r="AZ104" s="8">
        <f>AX104-AY104</f>
        <v>0</v>
      </c>
      <c r="BB104" s="21">
        <f>AY104+AW104+AU104+AS104+AQ104+AO104+AM104+AK104+AI104+AG104+AE104+AC104+AA104+Y104+W104+U104+S104+Q104+O104+M104+K104</f>
        <v>6</v>
      </c>
      <c r="BC104">
        <f>$BB104*D104</f>
        <v>0</v>
      </c>
      <c r="BD104">
        <f>BC104*F104</f>
        <v>0</v>
      </c>
      <c r="BE104">
        <f>BD104*G104</f>
        <v>0</v>
      </c>
      <c r="BF104" s="21">
        <f>$BB104*E104</f>
        <v>6</v>
      </c>
      <c r="BG104" s="21">
        <f>$BB104*H104</f>
        <v>0</v>
      </c>
    </row>
    <row r="105" spans="1:59" ht="27.75">
      <c r="A105" s="47"/>
      <c r="B105" s="9">
        <v>25</v>
      </c>
      <c r="C105" s="38" t="s">
        <v>103</v>
      </c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</row>
    <row r="106" spans="1:59">
      <c r="A106" s="47"/>
      <c r="B106" s="8"/>
      <c r="C106" s="35" t="s">
        <v>104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>
        <v>10</v>
      </c>
      <c r="J106">
        <f>I106</f>
        <v>10</v>
      </c>
      <c r="L106">
        <f>J106-K106</f>
        <v>10</v>
      </c>
      <c r="N106">
        <f>L106-M106</f>
        <v>10</v>
      </c>
      <c r="P106">
        <f>N106-O106</f>
        <v>10</v>
      </c>
      <c r="R106">
        <f>P106-Q106</f>
        <v>10</v>
      </c>
      <c r="T106">
        <f>R106-S106</f>
        <v>10</v>
      </c>
      <c r="V106">
        <f>T106-U106</f>
        <v>10</v>
      </c>
      <c r="X106">
        <f>V106-W106</f>
        <v>10</v>
      </c>
      <c r="Z106">
        <f>X106-Y106</f>
        <v>10</v>
      </c>
      <c r="AB106">
        <f>Z106-AA106</f>
        <v>10</v>
      </c>
      <c r="AD106">
        <f>AB106-AC106</f>
        <v>10</v>
      </c>
      <c r="AF106">
        <f>AD106-AE106</f>
        <v>10</v>
      </c>
      <c r="AH106">
        <f>AF106-AG106</f>
        <v>10</v>
      </c>
      <c r="AJ106">
        <f>AH106-AI106</f>
        <v>10</v>
      </c>
      <c r="AL106">
        <f>AJ106-AK106</f>
        <v>10</v>
      </c>
      <c r="AN106">
        <f>AL106-AM106</f>
        <v>10</v>
      </c>
      <c r="AP106">
        <f>AN106-AO106</f>
        <v>10</v>
      </c>
      <c r="AR106">
        <f>AP106-AQ106</f>
        <v>10</v>
      </c>
      <c r="AT106">
        <f>AR106-AS106</f>
        <v>10</v>
      </c>
      <c r="AV106">
        <f>AT106-AU106</f>
        <v>10</v>
      </c>
      <c r="AX106">
        <f>AV106-AW106</f>
        <v>10</v>
      </c>
      <c r="AZ106" s="8">
        <f>AX106-AY106</f>
        <v>10</v>
      </c>
      <c r="BB106" s="21">
        <f>AY106+AW106+AU106+AS106+AQ106+AO106+AM106+AK106+AI106+AG106+AE106+AC106+AA106+Y106+W106+U106+S106+Q106+O106+M106+K106</f>
        <v>0</v>
      </c>
      <c r="BC106">
        <f>$BB106*D106</f>
        <v>0</v>
      </c>
      <c r="BD106">
        <f>BC106*F106</f>
        <v>0</v>
      </c>
      <c r="BE106">
        <f>BD106*G106</f>
        <v>0</v>
      </c>
      <c r="BF106" s="21">
        <f>$BB106*E106</f>
        <v>0</v>
      </c>
      <c r="BG106" s="21">
        <f>$BB106*H106</f>
        <v>0</v>
      </c>
    </row>
    <row r="107" spans="1:59" ht="27.75">
      <c r="A107" s="47"/>
      <c r="B107" s="8"/>
      <c r="C107" s="36" t="s">
        <v>105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>
        <v>12</v>
      </c>
      <c r="J107">
        <f>I107</f>
        <v>12</v>
      </c>
      <c r="L107">
        <f>J107-K107</f>
        <v>12</v>
      </c>
      <c r="N107">
        <f>L107-M107</f>
        <v>12</v>
      </c>
      <c r="P107">
        <f>N107-O107</f>
        <v>12</v>
      </c>
      <c r="R107">
        <f>P107-Q107</f>
        <v>12</v>
      </c>
      <c r="T107">
        <f>R107-S107</f>
        <v>12</v>
      </c>
      <c r="V107">
        <f>T107-U107</f>
        <v>12</v>
      </c>
      <c r="X107">
        <f>V107-W107</f>
        <v>12</v>
      </c>
      <c r="Z107">
        <f>X107-Y107</f>
        <v>12</v>
      </c>
      <c r="AB107">
        <f>Z107-AA107</f>
        <v>12</v>
      </c>
      <c r="AD107">
        <f>AB107-AC107</f>
        <v>12</v>
      </c>
      <c r="AF107">
        <f>AD107-AE107</f>
        <v>12</v>
      </c>
      <c r="AH107">
        <f>AF107-AG107</f>
        <v>12</v>
      </c>
      <c r="AJ107">
        <f>AH107-AI107</f>
        <v>12</v>
      </c>
      <c r="AL107">
        <f>AJ107-AK107</f>
        <v>12</v>
      </c>
      <c r="AN107">
        <f>AL107-AM107</f>
        <v>12</v>
      </c>
      <c r="AP107">
        <f>AN107-AO107</f>
        <v>12</v>
      </c>
      <c r="AR107">
        <f>AP107-AQ107</f>
        <v>12</v>
      </c>
      <c r="AT107">
        <f>AR107-AS107</f>
        <v>12</v>
      </c>
      <c r="AV107">
        <f>AT107-AU107</f>
        <v>12</v>
      </c>
      <c r="AX107">
        <f>AV107-AW107</f>
        <v>12</v>
      </c>
      <c r="AZ107" s="8">
        <f>AX107-AY107</f>
        <v>12</v>
      </c>
      <c r="BB107" s="21">
        <f>AY107+AW107+AU107+AS107+AQ107+AO107+AM107+AK107+AI107+AG107+AE107+AC107+AA107+Y107+W107+U107+S107+Q107+O107+M107+K107</f>
        <v>0</v>
      </c>
      <c r="BC107">
        <f>$BB107*D107</f>
        <v>0</v>
      </c>
      <c r="BD107">
        <f>BC107*F107</f>
        <v>0</v>
      </c>
      <c r="BE107">
        <f>BD107*G107</f>
        <v>0</v>
      </c>
      <c r="BF107" s="21">
        <f>$BB107*E107</f>
        <v>0</v>
      </c>
      <c r="BG107" s="21">
        <f>$BB107*H107</f>
        <v>0</v>
      </c>
    </row>
    <row r="108" spans="1:59">
      <c r="A108" s="47"/>
      <c r="B108" s="8"/>
      <c r="C108" s="36" t="s">
        <v>106</v>
      </c>
      <c r="D108" s="14"/>
      <c r="E108" s="14"/>
      <c r="F108" s="14"/>
      <c r="G108" s="14"/>
      <c r="H108" s="14"/>
      <c r="I108">
        <v>5</v>
      </c>
      <c r="J108">
        <f>I108</f>
        <v>5</v>
      </c>
      <c r="AZ108" s="8"/>
    </row>
    <row r="109" spans="1:59">
      <c r="A109" s="47"/>
      <c r="B109" s="9">
        <v>26</v>
      </c>
      <c r="C109" s="38" t="s">
        <v>107</v>
      </c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</row>
    <row r="110" spans="1:59">
      <c r="A110" s="47"/>
      <c r="B110" s="8"/>
      <c r="C110" s="35" t="s">
        <v>108</v>
      </c>
      <c r="D110" s="14">
        <v>0</v>
      </c>
      <c r="E110" s="14">
        <v>0</v>
      </c>
      <c r="F110" s="14">
        <v>0</v>
      </c>
      <c r="G110" s="14">
        <v>0</v>
      </c>
      <c r="H110" s="14">
        <v>0</v>
      </c>
      <c r="I110">
        <v>6</v>
      </c>
      <c r="J110">
        <f>I110</f>
        <v>6</v>
      </c>
      <c r="L110">
        <f>J110-K110</f>
        <v>6</v>
      </c>
      <c r="N110">
        <f>L110-M110</f>
        <v>6</v>
      </c>
      <c r="P110">
        <f>N110-O110</f>
        <v>6</v>
      </c>
      <c r="R110">
        <f>P110-Q110</f>
        <v>6</v>
      </c>
      <c r="T110">
        <f>R110-S110</f>
        <v>6</v>
      </c>
      <c r="V110">
        <f>T110-U110</f>
        <v>6</v>
      </c>
      <c r="X110">
        <f>V110-W110</f>
        <v>6</v>
      </c>
      <c r="Z110">
        <f>X110-Y110</f>
        <v>6</v>
      </c>
      <c r="AB110">
        <f>Z110-AA110</f>
        <v>6</v>
      </c>
      <c r="AD110">
        <f>AB110-AC110</f>
        <v>6</v>
      </c>
      <c r="AF110">
        <f>AD110-AE110</f>
        <v>6</v>
      </c>
      <c r="AH110">
        <f>AF110-AG110</f>
        <v>6</v>
      </c>
      <c r="AJ110">
        <f>AH110-AI110</f>
        <v>6</v>
      </c>
      <c r="AL110">
        <f>AJ110-AK110</f>
        <v>6</v>
      </c>
      <c r="AN110">
        <f>AL110-AM110</f>
        <v>6</v>
      </c>
      <c r="AP110">
        <f>AN110-AO110</f>
        <v>6</v>
      </c>
      <c r="AR110">
        <f>AP110-AQ110</f>
        <v>6</v>
      </c>
      <c r="AT110">
        <f>AR110-AS110</f>
        <v>6</v>
      </c>
      <c r="AV110">
        <f>AT110-AU110</f>
        <v>6</v>
      </c>
      <c r="AX110">
        <f>AV110-AW110</f>
        <v>6</v>
      </c>
      <c r="AZ110" s="8">
        <f>AX110-AY110</f>
        <v>6</v>
      </c>
      <c r="BB110" s="21">
        <f>AY110+AW110+AU110+AS110+AQ110+AO110+AM110+AK110+AI110+AG110+AE110+AC110+AA110+Y110+W110+U110+S110+Q110+O110+M110+K110</f>
        <v>0</v>
      </c>
      <c r="BC110">
        <f>$BB110*D110</f>
        <v>0</v>
      </c>
      <c r="BD110">
        <f t="shared" ref="BD110:BE112" si="78">BC110*F110</f>
        <v>0</v>
      </c>
      <c r="BE110">
        <f t="shared" si="78"/>
        <v>0</v>
      </c>
      <c r="BF110" s="21">
        <f>$BB110*E110</f>
        <v>0</v>
      </c>
      <c r="BG110" s="21">
        <f>$BB110*H110</f>
        <v>0</v>
      </c>
    </row>
    <row r="111" spans="1:59">
      <c r="A111" s="47"/>
      <c r="B111" s="8"/>
      <c r="C111" s="35" t="s">
        <v>109</v>
      </c>
      <c r="D111" s="14">
        <v>0</v>
      </c>
      <c r="E111" s="14">
        <v>0</v>
      </c>
      <c r="F111" s="14">
        <v>0</v>
      </c>
      <c r="G111" s="14">
        <v>0</v>
      </c>
      <c r="H111" s="14">
        <v>0</v>
      </c>
      <c r="I111">
        <v>8</v>
      </c>
      <c r="J111">
        <f>I111</f>
        <v>8</v>
      </c>
      <c r="L111">
        <f>J111-K111</f>
        <v>8</v>
      </c>
      <c r="N111">
        <f>L111-M111</f>
        <v>8</v>
      </c>
      <c r="P111">
        <f>N111-O111</f>
        <v>8</v>
      </c>
      <c r="R111">
        <f>P111-Q111</f>
        <v>8</v>
      </c>
      <c r="T111">
        <f>R111-S111</f>
        <v>8</v>
      </c>
      <c r="V111">
        <f>T111-U111</f>
        <v>8</v>
      </c>
      <c r="X111">
        <f>V111-W111</f>
        <v>8</v>
      </c>
      <c r="Z111">
        <f>X111-Y111</f>
        <v>8</v>
      </c>
      <c r="AB111">
        <f>Z111-AA111</f>
        <v>8</v>
      </c>
      <c r="AD111">
        <f>AB111-AC111</f>
        <v>8</v>
      </c>
      <c r="AF111">
        <f>AD111-AE111</f>
        <v>8</v>
      </c>
      <c r="AH111">
        <f>AF111-AG111</f>
        <v>8</v>
      </c>
      <c r="AJ111">
        <f>AH111-AI111</f>
        <v>8</v>
      </c>
      <c r="AL111">
        <f>AJ111-AK111</f>
        <v>8</v>
      </c>
      <c r="AN111">
        <f>AL111-AM111</f>
        <v>8</v>
      </c>
      <c r="AP111">
        <f>AN111-AO111</f>
        <v>8</v>
      </c>
      <c r="AR111">
        <f>AP111-AQ111</f>
        <v>8</v>
      </c>
      <c r="AT111">
        <f>AR111-AS111</f>
        <v>8</v>
      </c>
      <c r="AV111">
        <f>AT111-AU111</f>
        <v>8</v>
      </c>
      <c r="AX111">
        <f>AV111-AW111</f>
        <v>8</v>
      </c>
      <c r="AZ111" s="8">
        <f>AX111-AY111</f>
        <v>8</v>
      </c>
      <c r="BB111" s="21">
        <f>AY111+AW111+AU111+AS111+AQ111+AO111+AM111+AK111+AI111+AG111+AE111+AC111+AA111+Y111+W111+U111+S111+Q111+O111+M111+K111</f>
        <v>0</v>
      </c>
      <c r="BC111">
        <f>$BB111*D111</f>
        <v>0</v>
      </c>
      <c r="BD111">
        <f t="shared" si="78"/>
        <v>0</v>
      </c>
      <c r="BE111">
        <f t="shared" si="78"/>
        <v>0</v>
      </c>
      <c r="BF111" s="21">
        <f>$BB111*E111</f>
        <v>0</v>
      </c>
      <c r="BG111" s="21">
        <f>$BB111*H111</f>
        <v>0</v>
      </c>
    </row>
    <row r="112" spans="1:59" ht="27.75">
      <c r="A112" s="47"/>
      <c r="B112" s="8"/>
      <c r="C112" s="36" t="s">
        <v>110</v>
      </c>
      <c r="D112" s="14">
        <v>0</v>
      </c>
      <c r="E112" s="14">
        <v>0</v>
      </c>
      <c r="F112" s="14">
        <v>0</v>
      </c>
      <c r="G112" s="14">
        <v>0</v>
      </c>
      <c r="H112" s="14">
        <v>0</v>
      </c>
      <c r="I112">
        <v>4</v>
      </c>
      <c r="J112">
        <f>I112</f>
        <v>4</v>
      </c>
      <c r="L112">
        <f>J112-K112</f>
        <v>4</v>
      </c>
      <c r="N112">
        <f>L112-M112</f>
        <v>4</v>
      </c>
      <c r="P112">
        <f>N112-O112</f>
        <v>4</v>
      </c>
      <c r="R112">
        <f>P112-Q112</f>
        <v>4</v>
      </c>
      <c r="T112">
        <f>R112-S112</f>
        <v>4</v>
      </c>
      <c r="V112">
        <f>T112-U112</f>
        <v>4</v>
      </c>
      <c r="X112">
        <f>V112-W112</f>
        <v>4</v>
      </c>
      <c r="Z112">
        <f>X112-Y112</f>
        <v>4</v>
      </c>
      <c r="AB112">
        <f>Z112-AA112</f>
        <v>4</v>
      </c>
      <c r="AD112">
        <f>AB112-AC112</f>
        <v>4</v>
      </c>
      <c r="AF112">
        <f>AD112-AE112</f>
        <v>4</v>
      </c>
      <c r="AH112">
        <f>AF112-AG112</f>
        <v>4</v>
      </c>
      <c r="AJ112">
        <f>AH112-AI112</f>
        <v>4</v>
      </c>
      <c r="AL112">
        <f>AJ112-AK112</f>
        <v>4</v>
      </c>
      <c r="AN112">
        <f>AL112-AM112</f>
        <v>4</v>
      </c>
      <c r="AP112">
        <f>AN112-AO112</f>
        <v>4</v>
      </c>
      <c r="AR112">
        <f>AP112-AQ112</f>
        <v>4</v>
      </c>
      <c r="AT112">
        <f>AR112-AS112</f>
        <v>4</v>
      </c>
      <c r="AV112">
        <f>AT112-AU112</f>
        <v>4</v>
      </c>
      <c r="AX112">
        <f>AV112-AW112</f>
        <v>4</v>
      </c>
      <c r="AZ112" s="8">
        <f>AX112-AY112</f>
        <v>4</v>
      </c>
      <c r="BB112" s="21">
        <f>AY112+AW112+AU112+AS112+AQ112+AO112+AM112+AK112+AI112+AG112+AE112+AC112+AA112+Y112+W112+U112+S112+Q112+O112+M112+K112</f>
        <v>0</v>
      </c>
      <c r="BC112">
        <f>$BB112*D112</f>
        <v>0</v>
      </c>
      <c r="BD112">
        <f t="shared" si="78"/>
        <v>0</v>
      </c>
      <c r="BE112">
        <f t="shared" si="78"/>
        <v>0</v>
      </c>
      <c r="BF112" s="21">
        <f>$BB112*E112</f>
        <v>0</v>
      </c>
      <c r="BG112" s="21">
        <f>$BB112*H112</f>
        <v>0</v>
      </c>
    </row>
    <row r="113" spans="1:59" ht="15.75">
      <c r="A113" s="51" t="s">
        <v>111</v>
      </c>
      <c r="B113" s="9"/>
      <c r="C113" s="38" t="s">
        <v>107</v>
      </c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</row>
    <row r="114" spans="1:59">
      <c r="A114" s="50"/>
      <c r="B114" s="8">
        <v>27</v>
      </c>
      <c r="C114" s="35" t="s">
        <v>112</v>
      </c>
      <c r="D114" s="14">
        <v>1</v>
      </c>
      <c r="E114" s="14">
        <v>0</v>
      </c>
      <c r="F114" s="14">
        <v>0</v>
      </c>
      <c r="G114" s="14">
        <v>0</v>
      </c>
      <c r="H114" s="14">
        <v>0</v>
      </c>
      <c r="I114">
        <v>7</v>
      </c>
      <c r="J114">
        <f>I114</f>
        <v>7</v>
      </c>
      <c r="L114">
        <f>J114-K114</f>
        <v>7</v>
      </c>
      <c r="N114">
        <f>L114-M114</f>
        <v>7</v>
      </c>
      <c r="P114">
        <f>N114-O114</f>
        <v>7</v>
      </c>
      <c r="R114">
        <f>P114-Q114</f>
        <v>7</v>
      </c>
      <c r="T114">
        <f>R114-S114</f>
        <v>7</v>
      </c>
      <c r="V114">
        <f>T114-U114</f>
        <v>7</v>
      </c>
      <c r="X114">
        <f>V114-W114</f>
        <v>7</v>
      </c>
      <c r="Z114">
        <f>X114-Y114</f>
        <v>7</v>
      </c>
      <c r="AB114">
        <f>Z114-AA114</f>
        <v>7</v>
      </c>
      <c r="AD114">
        <f>AB114-AC114</f>
        <v>7</v>
      </c>
      <c r="AF114">
        <f>AD114-AE114</f>
        <v>7</v>
      </c>
      <c r="AH114">
        <f>AF114-AG114</f>
        <v>7</v>
      </c>
      <c r="AJ114">
        <f>AH114-AI114</f>
        <v>7</v>
      </c>
      <c r="AL114">
        <f>AJ114-AK114</f>
        <v>7</v>
      </c>
      <c r="AN114">
        <f>AL114-AM114</f>
        <v>7</v>
      </c>
      <c r="AP114">
        <f>AN114-AO114</f>
        <v>7</v>
      </c>
      <c r="AR114">
        <f>AP114-AQ114</f>
        <v>7</v>
      </c>
      <c r="AT114">
        <f>AR114-AS114</f>
        <v>7</v>
      </c>
      <c r="AV114">
        <f>AT114-AU114</f>
        <v>7</v>
      </c>
      <c r="AX114">
        <f>AV114-AW114</f>
        <v>7</v>
      </c>
      <c r="AZ114" s="8">
        <f>AX114-AY114</f>
        <v>7</v>
      </c>
      <c r="BB114" s="21">
        <f>AY114+AW114+AU114+AS114+AQ114+AO114+AM114+AK114+AI114+AG114+AE114+AC114+AA114+Y114+W114+U114+S114+Q114+O114+M114+K114</f>
        <v>0</v>
      </c>
      <c r="BC114">
        <f>$BB114*D114</f>
        <v>0</v>
      </c>
      <c r="BD114">
        <f t="shared" ref="BD114:BD116" si="79">BC114*F114</f>
        <v>0</v>
      </c>
      <c r="BE114">
        <f t="shared" ref="BE114:BE116" si="80">BD114*G114</f>
        <v>0</v>
      </c>
      <c r="BF114" s="21">
        <f>$BB114*E114</f>
        <v>0</v>
      </c>
      <c r="BG114" s="21">
        <f>$BB114*H114</f>
        <v>0</v>
      </c>
    </row>
    <row r="115" spans="1:59">
      <c r="A115" s="50"/>
      <c r="B115" s="8">
        <v>28</v>
      </c>
      <c r="C115" s="35" t="s">
        <v>113</v>
      </c>
      <c r="D115" s="14">
        <v>1</v>
      </c>
      <c r="E115" s="14">
        <v>0</v>
      </c>
      <c r="F115" s="14">
        <v>0</v>
      </c>
      <c r="G115" s="14">
        <v>0</v>
      </c>
      <c r="H115" s="14">
        <v>0</v>
      </c>
      <c r="I115">
        <v>15</v>
      </c>
      <c r="J115">
        <f>I115</f>
        <v>15</v>
      </c>
      <c r="L115">
        <f>J115-K115</f>
        <v>15</v>
      </c>
      <c r="N115">
        <f>L115-M115</f>
        <v>15</v>
      </c>
      <c r="P115">
        <f>N115-O115</f>
        <v>15</v>
      </c>
      <c r="R115">
        <f>P115-Q115</f>
        <v>15</v>
      </c>
      <c r="T115">
        <f>R115-S115</f>
        <v>15</v>
      </c>
      <c r="V115">
        <f>T115-U115</f>
        <v>15</v>
      </c>
      <c r="X115">
        <f>V115-W115</f>
        <v>15</v>
      </c>
      <c r="Z115">
        <f>X115-Y115</f>
        <v>15</v>
      </c>
      <c r="AB115">
        <f>Z115-AA115</f>
        <v>15</v>
      </c>
      <c r="AD115">
        <f>AB115-AC115</f>
        <v>15</v>
      </c>
      <c r="AF115">
        <f>AD115-AE115</f>
        <v>15</v>
      </c>
      <c r="AH115">
        <f>AF115-AG115</f>
        <v>15</v>
      </c>
      <c r="AJ115">
        <f>AH115-AI115</f>
        <v>15</v>
      </c>
      <c r="AL115">
        <f>AJ115-AK115</f>
        <v>15</v>
      </c>
      <c r="AN115">
        <f>AL115-AM115</f>
        <v>15</v>
      </c>
      <c r="AP115">
        <f>AN115-AO115</f>
        <v>15</v>
      </c>
      <c r="AR115">
        <f>AP115-AQ115</f>
        <v>15</v>
      </c>
      <c r="AT115">
        <f>AR115-AS115</f>
        <v>15</v>
      </c>
      <c r="AV115">
        <f>AT115-AU115</f>
        <v>15</v>
      </c>
      <c r="AX115">
        <f>AV115-AW115</f>
        <v>15</v>
      </c>
      <c r="AZ115" s="8">
        <f>AX115-AY115</f>
        <v>15</v>
      </c>
      <c r="BB115" s="21">
        <f>AY115+AW115+AU115+AS115+AQ115+AO115+AM115+AK115+AI115+AG115+AE115+AC115+AA115+Y115+W115+U115+S115+Q115+O115+M115+K115</f>
        <v>0</v>
      </c>
      <c r="BC115">
        <f>$BB115*D115</f>
        <v>0</v>
      </c>
      <c r="BD115">
        <f t="shared" si="79"/>
        <v>0</v>
      </c>
      <c r="BE115">
        <f t="shared" si="80"/>
        <v>0</v>
      </c>
      <c r="BF115" s="21">
        <f>$BB115*E115</f>
        <v>0</v>
      </c>
      <c r="BG115" s="21">
        <f>$BB115*H115</f>
        <v>0</v>
      </c>
    </row>
    <row r="116" spans="1:59" ht="26.45">
      <c r="A116" s="50"/>
      <c r="B116" s="8">
        <v>29</v>
      </c>
      <c r="C116" s="35" t="s">
        <v>114</v>
      </c>
      <c r="D116" s="14">
        <v>1</v>
      </c>
      <c r="E116" s="14">
        <v>0</v>
      </c>
      <c r="F116" s="14">
        <v>0</v>
      </c>
      <c r="G116" s="14">
        <v>0</v>
      </c>
      <c r="H116" s="14">
        <v>0</v>
      </c>
      <c r="I116">
        <v>16</v>
      </c>
      <c r="J116">
        <f>I116</f>
        <v>16</v>
      </c>
      <c r="L116">
        <f>J116-K116</f>
        <v>16</v>
      </c>
      <c r="N116">
        <f>L116-M116</f>
        <v>16</v>
      </c>
      <c r="P116">
        <f>N116-O116</f>
        <v>16</v>
      </c>
      <c r="R116">
        <f>P116-Q116</f>
        <v>16</v>
      </c>
      <c r="T116">
        <f>R116-S116</f>
        <v>16</v>
      </c>
      <c r="V116">
        <f>T116-U116</f>
        <v>16</v>
      </c>
      <c r="X116">
        <f>V116-W116</f>
        <v>16</v>
      </c>
      <c r="Z116">
        <f>X116-Y116</f>
        <v>16</v>
      </c>
      <c r="AB116">
        <f>Z116-AA116</f>
        <v>16</v>
      </c>
      <c r="AD116">
        <f>AB116-AC116</f>
        <v>16</v>
      </c>
      <c r="AF116">
        <f>AD116-AE116</f>
        <v>16</v>
      </c>
      <c r="AH116">
        <f>AF116-AG116</f>
        <v>16</v>
      </c>
      <c r="AJ116">
        <f>AH116-AI116</f>
        <v>16</v>
      </c>
      <c r="AL116">
        <f>AJ116-AK116</f>
        <v>16</v>
      </c>
      <c r="AN116">
        <f>AL116-AM116</f>
        <v>16</v>
      </c>
      <c r="AP116">
        <f>AN116-AO116</f>
        <v>16</v>
      </c>
      <c r="AR116">
        <f>AP116-AQ116</f>
        <v>16</v>
      </c>
      <c r="AT116">
        <f>AR116-AS116</f>
        <v>16</v>
      </c>
      <c r="AV116">
        <f>AT116-AU116</f>
        <v>16</v>
      </c>
      <c r="AX116">
        <f>AV116-AW116</f>
        <v>16</v>
      </c>
      <c r="AZ116" s="8">
        <f>AX116-AY116</f>
        <v>16</v>
      </c>
      <c r="BB116" s="21">
        <f>AY116+AW116+AU116+AS116+AQ116+AO116+AM116+AK116+AI116+AG116+AE116+AC116+AA116+Y116+W116+U116+S116+Q116+O116+M116+K116</f>
        <v>0</v>
      </c>
      <c r="BC116">
        <f>$BB116*D116</f>
        <v>0</v>
      </c>
      <c r="BD116">
        <f t="shared" si="79"/>
        <v>0</v>
      </c>
      <c r="BE116">
        <f t="shared" si="80"/>
        <v>0</v>
      </c>
      <c r="BF116" s="21">
        <f>$BB116*E116</f>
        <v>0</v>
      </c>
      <c r="BG116" s="21">
        <f>$BB116*H116</f>
        <v>0</v>
      </c>
    </row>
    <row r="117" spans="1:59">
      <c r="A117" s="50"/>
      <c r="B117" s="9">
        <v>30</v>
      </c>
      <c r="C117" s="38" t="s">
        <v>115</v>
      </c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</row>
    <row r="118" spans="1:59">
      <c r="A118" s="50"/>
      <c r="B118" s="8"/>
      <c r="C118" s="35" t="s">
        <v>116</v>
      </c>
      <c r="D118" s="14">
        <v>0</v>
      </c>
      <c r="E118" s="14">
        <v>0</v>
      </c>
      <c r="F118" s="14">
        <v>0</v>
      </c>
      <c r="G118" s="14">
        <v>1</v>
      </c>
      <c r="H118" s="14">
        <v>0</v>
      </c>
      <c r="I118">
        <v>18</v>
      </c>
      <c r="J118">
        <f>I118</f>
        <v>18</v>
      </c>
      <c r="L118">
        <f>J118-K118</f>
        <v>18</v>
      </c>
      <c r="N118">
        <f>L118-M118</f>
        <v>18</v>
      </c>
      <c r="P118">
        <f>N118-O118</f>
        <v>18</v>
      </c>
      <c r="R118">
        <f>P118-Q118</f>
        <v>18</v>
      </c>
      <c r="T118">
        <f>R118-S118</f>
        <v>18</v>
      </c>
      <c r="V118">
        <f>T118-U118</f>
        <v>18</v>
      </c>
      <c r="X118">
        <f>V118-W118</f>
        <v>18</v>
      </c>
      <c r="Z118">
        <f>X118-Y118</f>
        <v>18</v>
      </c>
      <c r="AB118">
        <f>Z118-AA118</f>
        <v>18</v>
      </c>
      <c r="AD118">
        <f>AB118-AC118</f>
        <v>18</v>
      </c>
      <c r="AF118">
        <f>AD118-AE118</f>
        <v>18</v>
      </c>
      <c r="AH118">
        <f>AF118-AG118</f>
        <v>18</v>
      </c>
      <c r="AJ118">
        <f>AH118-AI118</f>
        <v>18</v>
      </c>
      <c r="AL118">
        <f>AJ118-AK118</f>
        <v>18</v>
      </c>
      <c r="AN118">
        <f>AL118-AM118</f>
        <v>18</v>
      </c>
      <c r="AP118">
        <f>AN118-AO118</f>
        <v>18</v>
      </c>
      <c r="AR118">
        <f>AP118-AQ118</f>
        <v>18</v>
      </c>
      <c r="AT118">
        <f>AR118-AS118</f>
        <v>18</v>
      </c>
      <c r="AV118">
        <f>AT118-AU118</f>
        <v>18</v>
      </c>
      <c r="AX118">
        <f>AV118-AW118</f>
        <v>18</v>
      </c>
      <c r="AZ118" s="8">
        <f>AX118-AY118</f>
        <v>18</v>
      </c>
      <c r="BB118" s="21">
        <f>AY118+AW118+AU118+AS118+AQ118+AO118+AM118+AK118+AI118+AG118+AE118+AC118+AA118+Y118+W118+U118+S118+Q118+O118+M118+K118</f>
        <v>0</v>
      </c>
      <c r="BC118">
        <f>$BB118*D118</f>
        <v>0</v>
      </c>
      <c r="BD118">
        <f t="shared" ref="BD118" si="81">BC118*F118</f>
        <v>0</v>
      </c>
      <c r="BE118">
        <f t="shared" ref="BE118" si="82">BD118*G118</f>
        <v>0</v>
      </c>
      <c r="BF118" s="21">
        <f>$BB118*E118</f>
        <v>0</v>
      </c>
      <c r="BG118" s="21">
        <f>$BB118*H118</f>
        <v>0</v>
      </c>
    </row>
    <row r="119" spans="1:59">
      <c r="A119" s="50"/>
      <c r="B119" s="9"/>
      <c r="C119" s="38" t="s">
        <v>117</v>
      </c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</row>
    <row r="120" spans="1:59">
      <c r="A120" s="50"/>
      <c r="B120" s="8">
        <v>31</v>
      </c>
      <c r="C120" s="35" t="s">
        <v>118</v>
      </c>
      <c r="D120" s="14">
        <v>0</v>
      </c>
      <c r="E120" s="14">
        <v>0</v>
      </c>
      <c r="F120" s="14">
        <v>0</v>
      </c>
      <c r="G120" s="14">
        <v>0</v>
      </c>
      <c r="H120" s="14">
        <v>1</v>
      </c>
      <c r="I120">
        <v>3</v>
      </c>
      <c r="J120">
        <f>I120</f>
        <v>3</v>
      </c>
      <c r="L120">
        <f>J120-K120</f>
        <v>3</v>
      </c>
      <c r="N120">
        <f>L120-M120</f>
        <v>3</v>
      </c>
      <c r="P120">
        <f>N120-O120</f>
        <v>3</v>
      </c>
      <c r="R120">
        <f>P120-Q120</f>
        <v>3</v>
      </c>
      <c r="T120">
        <f>R120-S120</f>
        <v>3</v>
      </c>
      <c r="V120">
        <f>T120-U120</f>
        <v>3</v>
      </c>
      <c r="X120">
        <f>V120-W120</f>
        <v>3</v>
      </c>
      <c r="Z120">
        <f>X120-Y120</f>
        <v>3</v>
      </c>
      <c r="AB120">
        <f>Z120-AA120</f>
        <v>3</v>
      </c>
      <c r="AD120">
        <f>AB120-AC120</f>
        <v>3</v>
      </c>
      <c r="AF120">
        <f>AD120-AE120</f>
        <v>3</v>
      </c>
      <c r="AH120">
        <f>AF120-AG120</f>
        <v>3</v>
      </c>
      <c r="AJ120">
        <f>AH120-AI120</f>
        <v>3</v>
      </c>
      <c r="AL120">
        <f>AJ120-AK120</f>
        <v>3</v>
      </c>
      <c r="AN120">
        <f>AL120-AM120</f>
        <v>3</v>
      </c>
      <c r="AP120">
        <f>AN120-AO120</f>
        <v>3</v>
      </c>
      <c r="AR120">
        <f>AP120-AQ120</f>
        <v>3</v>
      </c>
      <c r="AT120">
        <f>AR120-AS120</f>
        <v>3</v>
      </c>
      <c r="AV120">
        <f>AT120-AU120</f>
        <v>3</v>
      </c>
      <c r="AX120">
        <f>AV120-AW120</f>
        <v>3</v>
      </c>
      <c r="AZ120" s="8">
        <f>AX120-AY120</f>
        <v>3</v>
      </c>
      <c r="BB120" s="21">
        <f>AY120+AW120+AU120+AS120+AQ120+AO120+AM120+AK120+AI120+AG120+AE120+AC120+AA120+Y120+W120+U120+S120+Q120+O120+M120+K120</f>
        <v>0</v>
      </c>
      <c r="BC120">
        <f>$BB120*D120</f>
        <v>0</v>
      </c>
      <c r="BD120">
        <f t="shared" ref="BD120:BD122" si="83">BC120*F120</f>
        <v>0</v>
      </c>
      <c r="BE120">
        <f t="shared" ref="BE120:BE122" si="84">BD120*G120</f>
        <v>0</v>
      </c>
      <c r="BF120" s="21">
        <f>$BB120*E120</f>
        <v>0</v>
      </c>
      <c r="BG120" s="21">
        <f>$BB120*H120</f>
        <v>0</v>
      </c>
    </row>
    <row r="121" spans="1:59">
      <c r="A121" s="50"/>
      <c r="B121" s="8">
        <v>32</v>
      </c>
      <c r="C121" s="35" t="s">
        <v>119</v>
      </c>
      <c r="D121" s="14">
        <v>0</v>
      </c>
      <c r="E121" s="14">
        <v>0</v>
      </c>
      <c r="F121" s="14">
        <v>0</v>
      </c>
      <c r="G121" s="14">
        <v>0</v>
      </c>
      <c r="H121" s="14">
        <v>1</v>
      </c>
      <c r="I121">
        <v>5</v>
      </c>
      <c r="J121">
        <f>I121</f>
        <v>5</v>
      </c>
      <c r="L121">
        <f>J121-K121</f>
        <v>5</v>
      </c>
      <c r="N121">
        <f>L121-M121</f>
        <v>5</v>
      </c>
      <c r="P121">
        <f>N121-O121</f>
        <v>5</v>
      </c>
      <c r="R121">
        <f>P121-Q121</f>
        <v>5</v>
      </c>
      <c r="T121">
        <f>R121-S121</f>
        <v>5</v>
      </c>
      <c r="V121">
        <f>T121-U121</f>
        <v>5</v>
      </c>
      <c r="X121">
        <f>V121-W121</f>
        <v>5</v>
      </c>
      <c r="Z121">
        <f>X121-Y121</f>
        <v>5</v>
      </c>
      <c r="AB121">
        <f>Z121-AA121</f>
        <v>5</v>
      </c>
      <c r="AD121">
        <f>AB121-AC121</f>
        <v>5</v>
      </c>
      <c r="AF121">
        <f>AD121-AE121</f>
        <v>5</v>
      </c>
      <c r="AH121">
        <f>AF121-AG121</f>
        <v>5</v>
      </c>
      <c r="AJ121">
        <f>AH121-AI121</f>
        <v>5</v>
      </c>
      <c r="AL121">
        <f>AJ121-AK121</f>
        <v>5</v>
      </c>
      <c r="AN121">
        <f>AL121-AM121</f>
        <v>5</v>
      </c>
      <c r="AP121">
        <f>AN121-AO121</f>
        <v>5</v>
      </c>
      <c r="AR121">
        <f>AP121-AQ121</f>
        <v>5</v>
      </c>
      <c r="AT121">
        <f>AR121-AS121</f>
        <v>5</v>
      </c>
      <c r="AV121">
        <f>AT121-AU121</f>
        <v>5</v>
      </c>
      <c r="AX121">
        <f>AV121-AW121</f>
        <v>5</v>
      </c>
      <c r="AZ121" s="8">
        <f>AX121-AY121</f>
        <v>5</v>
      </c>
      <c r="BB121" s="21">
        <f>AY121+AW121+AU121+AS121+AQ121+AO121+AM121+AK121+AI121+AG121+AE121+AC121+AA121+Y121+W121+U121+S121+Q121+O121+M121+K121</f>
        <v>0</v>
      </c>
      <c r="BC121">
        <f>$BB121*D121</f>
        <v>0</v>
      </c>
      <c r="BD121">
        <f t="shared" si="83"/>
        <v>0</v>
      </c>
      <c r="BE121">
        <f t="shared" si="84"/>
        <v>0</v>
      </c>
      <c r="BF121" s="21">
        <f>$BB121*E121</f>
        <v>0</v>
      </c>
      <c r="BG121" s="21">
        <f>$BB121*H121</f>
        <v>0</v>
      </c>
    </row>
    <row r="122" spans="1:59">
      <c r="A122" s="50"/>
      <c r="B122" s="8">
        <v>33</v>
      </c>
      <c r="C122" s="35" t="s">
        <v>120</v>
      </c>
      <c r="D122" s="14">
        <v>0</v>
      </c>
      <c r="E122" s="14">
        <v>0</v>
      </c>
      <c r="F122" s="14">
        <v>0</v>
      </c>
      <c r="G122" s="14">
        <v>0</v>
      </c>
      <c r="H122" s="14">
        <v>1</v>
      </c>
      <c r="I122">
        <v>3</v>
      </c>
      <c r="J122">
        <f>I122</f>
        <v>3</v>
      </c>
      <c r="L122">
        <f>J122-K122</f>
        <v>3</v>
      </c>
      <c r="N122">
        <f>L122-M122</f>
        <v>3</v>
      </c>
      <c r="P122">
        <f>N122-O122</f>
        <v>3</v>
      </c>
      <c r="R122">
        <f>P122-Q122</f>
        <v>3</v>
      </c>
      <c r="T122">
        <f>R122-S122</f>
        <v>3</v>
      </c>
      <c r="V122">
        <f>T122-U122</f>
        <v>3</v>
      </c>
      <c r="X122">
        <f>V122-W122</f>
        <v>3</v>
      </c>
      <c r="Z122">
        <f>X122-Y122</f>
        <v>3</v>
      </c>
      <c r="AB122">
        <f>Z122-AA122</f>
        <v>3</v>
      </c>
      <c r="AD122">
        <f>AB122-AC122</f>
        <v>3</v>
      </c>
      <c r="AF122">
        <f>AD122-AE122</f>
        <v>3</v>
      </c>
      <c r="AH122">
        <f>AF122-AG122</f>
        <v>3</v>
      </c>
      <c r="AJ122">
        <f>AH122-AI122</f>
        <v>3</v>
      </c>
      <c r="AL122">
        <f>AJ122-AK122</f>
        <v>3</v>
      </c>
      <c r="AN122">
        <f>AL122-AM122</f>
        <v>3</v>
      </c>
      <c r="AP122">
        <f>AN122-AO122</f>
        <v>3</v>
      </c>
      <c r="AR122">
        <f>AP122-AQ122</f>
        <v>3</v>
      </c>
      <c r="AT122">
        <f>AR122-AS122</f>
        <v>3</v>
      </c>
      <c r="AV122">
        <f>AT122-AU122</f>
        <v>3</v>
      </c>
      <c r="AX122">
        <f>AV122-AW122</f>
        <v>3</v>
      </c>
      <c r="AZ122" s="8">
        <f>AX122-AY122</f>
        <v>3</v>
      </c>
      <c r="BB122" s="21">
        <f>AY122+AW122+AU122+AS122+AQ122+AO122+AM122+AK122+AI122+AG122+AE122+AC122+AA122+Y122+W122+U122+S122+Q122+O122+M122+K122</f>
        <v>0</v>
      </c>
      <c r="BC122">
        <f>$BB122*D122</f>
        <v>0</v>
      </c>
      <c r="BD122">
        <f t="shared" si="83"/>
        <v>0</v>
      </c>
      <c r="BE122">
        <f t="shared" si="84"/>
        <v>0</v>
      </c>
      <c r="BF122" s="21">
        <f>$BB122*E122</f>
        <v>0</v>
      </c>
      <c r="BG122" s="21">
        <f>$BB122*H122</f>
        <v>0</v>
      </c>
    </row>
    <row r="123" spans="1:59">
      <c r="A123" s="50"/>
      <c r="B123" s="9"/>
      <c r="C123" s="38" t="s">
        <v>121</v>
      </c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</row>
    <row r="124" spans="1:59">
      <c r="A124" s="50"/>
      <c r="B124" s="8">
        <v>34</v>
      </c>
      <c r="C124" s="35" t="s">
        <v>122</v>
      </c>
      <c r="D124" s="14">
        <v>0</v>
      </c>
      <c r="E124" s="14">
        <v>1</v>
      </c>
      <c r="F124" s="14">
        <v>0</v>
      </c>
      <c r="G124" s="14">
        <v>0</v>
      </c>
      <c r="H124" s="14">
        <v>0</v>
      </c>
      <c r="I124">
        <v>11</v>
      </c>
      <c r="J124">
        <f>I124</f>
        <v>11</v>
      </c>
      <c r="L124">
        <f>J124-K124</f>
        <v>11</v>
      </c>
      <c r="N124">
        <f>L124-M124</f>
        <v>11</v>
      </c>
      <c r="P124">
        <f>N124-O124</f>
        <v>11</v>
      </c>
      <c r="R124">
        <f>P124-Q124</f>
        <v>11</v>
      </c>
      <c r="T124">
        <f>R124-S124</f>
        <v>11</v>
      </c>
      <c r="V124">
        <f>T124-U124</f>
        <v>11</v>
      </c>
      <c r="X124">
        <f>V124-W124</f>
        <v>11</v>
      </c>
      <c r="Z124">
        <f>X124-Y124</f>
        <v>11</v>
      </c>
      <c r="AB124">
        <f>Z124-AA124</f>
        <v>11</v>
      </c>
      <c r="AD124">
        <f>AB124-AC124</f>
        <v>11</v>
      </c>
      <c r="AF124">
        <f>AD124-AE124</f>
        <v>11</v>
      </c>
      <c r="AH124">
        <f>AF124-AG124</f>
        <v>11</v>
      </c>
      <c r="AJ124">
        <f>AH124-AI124</f>
        <v>11</v>
      </c>
      <c r="AL124">
        <f>AJ124-AK124</f>
        <v>11</v>
      </c>
      <c r="AN124">
        <f>AL124-AM124</f>
        <v>11</v>
      </c>
      <c r="AP124">
        <f>AN124-AO124</f>
        <v>11</v>
      </c>
      <c r="AR124">
        <f>AP124-AQ124</f>
        <v>11</v>
      </c>
      <c r="AT124">
        <f>AR124-AS124</f>
        <v>11</v>
      </c>
      <c r="AV124">
        <f>AT124-AU124</f>
        <v>11</v>
      </c>
      <c r="AX124">
        <f>AV124-AW124</f>
        <v>11</v>
      </c>
      <c r="AZ124" s="8">
        <f>AX124-AY124</f>
        <v>11</v>
      </c>
      <c r="BB124" s="21">
        <f>AY124+AW124+AU124+AS124+AQ124+AO124+AM124+AK124+AI124+AG124+AE124+AC124+AA124+Y124+W124+U124+S124+Q124+O124+M124+K124</f>
        <v>0</v>
      </c>
      <c r="BC124">
        <f>$BB124*D124</f>
        <v>0</v>
      </c>
      <c r="BD124">
        <f t="shared" ref="BD124" si="85">BC124*F124</f>
        <v>0</v>
      </c>
      <c r="BE124">
        <f t="shared" ref="BE124" si="86">BD124*G124</f>
        <v>0</v>
      </c>
      <c r="BF124" s="21">
        <f>$BB124*E124</f>
        <v>0</v>
      </c>
      <c r="BG124" s="21">
        <f>$BB124*H124</f>
        <v>0</v>
      </c>
    </row>
    <row r="125" spans="1:59">
      <c r="A125" s="50"/>
      <c r="B125" s="9"/>
      <c r="C125" s="38" t="s">
        <v>123</v>
      </c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</row>
    <row r="126" spans="1:59">
      <c r="A126" s="50"/>
      <c r="B126" s="8">
        <v>35</v>
      </c>
      <c r="C126" s="35" t="s">
        <v>124</v>
      </c>
      <c r="D126" s="14">
        <v>0</v>
      </c>
      <c r="E126" s="14">
        <v>1</v>
      </c>
      <c r="F126" s="14">
        <v>0</v>
      </c>
      <c r="G126" s="14">
        <v>0</v>
      </c>
      <c r="H126" s="14">
        <v>0</v>
      </c>
      <c r="I126">
        <v>12</v>
      </c>
      <c r="J126">
        <f>I126</f>
        <v>12</v>
      </c>
      <c r="L126">
        <f>J126-K126</f>
        <v>12</v>
      </c>
      <c r="N126">
        <f>L126-M126</f>
        <v>12</v>
      </c>
      <c r="P126">
        <f>N126-O126</f>
        <v>12</v>
      </c>
      <c r="R126">
        <f>P126-Q126</f>
        <v>12</v>
      </c>
      <c r="T126">
        <f>R126-S126</f>
        <v>12</v>
      </c>
      <c r="V126">
        <f>T126-U126</f>
        <v>12</v>
      </c>
      <c r="X126">
        <f>V126-W126</f>
        <v>12</v>
      </c>
      <c r="Z126">
        <f>X126-Y126</f>
        <v>12</v>
      </c>
      <c r="AB126">
        <f>Z126-AA126</f>
        <v>12</v>
      </c>
      <c r="AD126">
        <f>AB126-AC126</f>
        <v>12</v>
      </c>
      <c r="AF126">
        <f>AD126-AE126</f>
        <v>12</v>
      </c>
      <c r="AH126">
        <f>AF126-AG126</f>
        <v>12</v>
      </c>
      <c r="AJ126">
        <f>AH126-AI126</f>
        <v>12</v>
      </c>
      <c r="AL126">
        <f>AJ126-AK126</f>
        <v>12</v>
      </c>
      <c r="AN126">
        <f>AL126-AM126</f>
        <v>12</v>
      </c>
      <c r="AP126">
        <f>AN126-AO126</f>
        <v>12</v>
      </c>
      <c r="AR126">
        <f>AP126-AQ126</f>
        <v>12</v>
      </c>
      <c r="AT126">
        <f>AR126-AS126</f>
        <v>12</v>
      </c>
      <c r="AV126">
        <f>AT126-AU126</f>
        <v>12</v>
      </c>
      <c r="AX126">
        <f>AV126-AW126</f>
        <v>12</v>
      </c>
      <c r="AZ126" s="8">
        <f>AX126-AY126</f>
        <v>12</v>
      </c>
      <c r="BB126" s="21">
        <f>AY126+AW126+AU126+AS126+AQ126+AO126+AM126+AK126+AI126+AG126+AE126+AC126+AA126+Y126+W126+U126+S126+Q126+O126+M126+K126</f>
        <v>0</v>
      </c>
      <c r="BC126">
        <f>$BB126*D126</f>
        <v>0</v>
      </c>
      <c r="BD126">
        <f t="shared" ref="BD126:BD127" si="87">BC126*F126</f>
        <v>0</v>
      </c>
      <c r="BE126">
        <f t="shared" ref="BE126:BE127" si="88">BD126*G126</f>
        <v>0</v>
      </c>
      <c r="BF126" s="21">
        <f>$BB126*E126</f>
        <v>0</v>
      </c>
      <c r="BG126" s="21">
        <f>$BB126*H126</f>
        <v>0</v>
      </c>
    </row>
    <row r="127" spans="1:59">
      <c r="A127" s="50"/>
      <c r="B127" s="8">
        <v>36</v>
      </c>
      <c r="C127" s="35" t="s">
        <v>125</v>
      </c>
      <c r="D127" s="14">
        <v>0</v>
      </c>
      <c r="E127" s="14">
        <v>1</v>
      </c>
      <c r="F127" s="14">
        <v>0</v>
      </c>
      <c r="G127" s="14">
        <v>0</v>
      </c>
      <c r="H127" s="14">
        <v>0</v>
      </c>
      <c r="I127">
        <v>4</v>
      </c>
      <c r="J127">
        <f>I127</f>
        <v>4</v>
      </c>
      <c r="L127">
        <f>J127-K127</f>
        <v>4</v>
      </c>
      <c r="N127">
        <f>L127-M127</f>
        <v>4</v>
      </c>
      <c r="P127">
        <f>N127-O127</f>
        <v>4</v>
      </c>
      <c r="R127">
        <f>P127-Q127</f>
        <v>4</v>
      </c>
      <c r="T127">
        <f>R127-S127</f>
        <v>4</v>
      </c>
      <c r="V127">
        <f>T127-U127</f>
        <v>4</v>
      </c>
      <c r="X127">
        <f>V127-W127</f>
        <v>4</v>
      </c>
      <c r="Z127">
        <f>X127-Y127</f>
        <v>4</v>
      </c>
      <c r="AB127">
        <f>Z127-AA127</f>
        <v>4</v>
      </c>
      <c r="AD127">
        <f>AB127-AC127</f>
        <v>4</v>
      </c>
      <c r="AF127">
        <f>AD127-AE127</f>
        <v>4</v>
      </c>
      <c r="AH127">
        <f>AF127-AG127</f>
        <v>4</v>
      </c>
      <c r="AJ127">
        <f>AH127-AI127</f>
        <v>4</v>
      </c>
      <c r="AL127">
        <f>AJ127-AK127</f>
        <v>4</v>
      </c>
      <c r="AN127">
        <f>AL127-AM127</f>
        <v>4</v>
      </c>
      <c r="AP127">
        <f>AN127-AO127</f>
        <v>4</v>
      </c>
      <c r="AR127">
        <f>AP127-AQ127</f>
        <v>4</v>
      </c>
      <c r="AT127">
        <f>AR127-AS127</f>
        <v>4</v>
      </c>
      <c r="AV127">
        <f>AT127-AU127</f>
        <v>4</v>
      </c>
      <c r="AX127">
        <f>AV127-AW127</f>
        <v>4</v>
      </c>
      <c r="AZ127" s="8">
        <f>AX127-AY127</f>
        <v>4</v>
      </c>
      <c r="BB127" s="21">
        <f>AY127+AW127+AU127+AS127+AQ127+AO127+AM127+AK127+AI127+AG127+AE127+AC127+AA127+Y127+W127+U127+S127+Q127+O127+M127+K127</f>
        <v>0</v>
      </c>
      <c r="BC127">
        <f>$BB127*D127</f>
        <v>0</v>
      </c>
      <c r="BD127">
        <f t="shared" si="87"/>
        <v>0</v>
      </c>
      <c r="BE127">
        <f t="shared" si="88"/>
        <v>0</v>
      </c>
      <c r="BF127" s="21">
        <f>$BB127*E127</f>
        <v>0</v>
      </c>
      <c r="BG127" s="21">
        <f>$BB127*H127</f>
        <v>0</v>
      </c>
    </row>
    <row r="128" spans="1:59">
      <c r="A128" s="50"/>
      <c r="B128" s="9">
        <v>37</v>
      </c>
      <c r="C128" s="38" t="s">
        <v>126</v>
      </c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</row>
    <row r="129" spans="1:59">
      <c r="A129" s="50"/>
      <c r="B129" s="8"/>
      <c r="C129" s="35"/>
      <c r="D129" s="14">
        <v>0</v>
      </c>
      <c r="E129" s="14">
        <v>0</v>
      </c>
      <c r="F129" s="14">
        <v>0</v>
      </c>
      <c r="G129" s="14">
        <v>0</v>
      </c>
      <c r="H129" s="14">
        <v>1</v>
      </c>
      <c r="I129">
        <v>13</v>
      </c>
      <c r="J129">
        <f>I129</f>
        <v>13</v>
      </c>
      <c r="L129">
        <f>J129-K129</f>
        <v>13</v>
      </c>
      <c r="N129">
        <f>L129-M129</f>
        <v>13</v>
      </c>
      <c r="P129">
        <f>N129-O129</f>
        <v>13</v>
      </c>
      <c r="R129">
        <f>P129-Q129</f>
        <v>13</v>
      </c>
      <c r="T129">
        <f>R129-S129</f>
        <v>13</v>
      </c>
      <c r="V129">
        <f>T129-U129</f>
        <v>13</v>
      </c>
      <c r="X129">
        <f>V129-W129</f>
        <v>13</v>
      </c>
      <c r="Z129">
        <f>X129-Y129</f>
        <v>13</v>
      </c>
      <c r="AB129">
        <f>Z129-AA129</f>
        <v>13</v>
      </c>
      <c r="AD129">
        <f>AB129-AC129</f>
        <v>13</v>
      </c>
      <c r="AF129">
        <f>AD129-AE129</f>
        <v>13</v>
      </c>
      <c r="AH129">
        <f>AF129-AG129</f>
        <v>13</v>
      </c>
      <c r="AJ129">
        <f>AH129-AI129</f>
        <v>13</v>
      </c>
      <c r="AL129">
        <f>AJ129-AK129</f>
        <v>13</v>
      </c>
      <c r="AN129">
        <f>AL129-AM129</f>
        <v>13</v>
      </c>
      <c r="AP129">
        <f>AN129-AO129</f>
        <v>13</v>
      </c>
      <c r="AR129">
        <f>AP129-AQ129</f>
        <v>13</v>
      </c>
      <c r="AT129">
        <f>AR129-AS129</f>
        <v>13</v>
      </c>
      <c r="AV129">
        <f>AT129-AU129</f>
        <v>13</v>
      </c>
      <c r="AX129">
        <f>AV129-AW129</f>
        <v>13</v>
      </c>
      <c r="AZ129" s="8">
        <f>AX129-AY129</f>
        <v>13</v>
      </c>
      <c r="BB129" s="21">
        <f>AY129+AW129+AU129+AS129+AQ129+AO129+AM129+AK129+AI129+AG129+AE129+AC129+AA129+Y129+W129+U129+S129+Q129+O129+M129+K129</f>
        <v>0</v>
      </c>
      <c r="BC129">
        <f>$BB129*D129</f>
        <v>0</v>
      </c>
      <c r="BD129">
        <f t="shared" ref="BD129" si="89">BC129*F129</f>
        <v>0</v>
      </c>
      <c r="BE129">
        <f t="shared" ref="BE129" si="90">BD129*G129</f>
        <v>0</v>
      </c>
      <c r="BF129" s="21">
        <f>$BB129*E129</f>
        <v>0</v>
      </c>
      <c r="BG129" s="21">
        <f>$BB129*H129</f>
        <v>0</v>
      </c>
    </row>
    <row r="130" spans="1:59">
      <c r="A130" s="50"/>
      <c r="B130" s="9">
        <v>38</v>
      </c>
      <c r="C130" s="38" t="s">
        <v>127</v>
      </c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</row>
    <row r="131" spans="1:59">
      <c r="A131" s="50"/>
      <c r="B131" s="8"/>
      <c r="C131" s="35"/>
      <c r="D131" s="14">
        <v>0</v>
      </c>
      <c r="E131" s="14">
        <v>0</v>
      </c>
      <c r="F131" s="14">
        <v>0</v>
      </c>
      <c r="G131" s="14">
        <v>0</v>
      </c>
      <c r="H131" s="14">
        <v>1</v>
      </c>
      <c r="I131">
        <v>11</v>
      </c>
      <c r="J131">
        <f>I131</f>
        <v>11</v>
      </c>
      <c r="L131">
        <f>J131-K131</f>
        <v>11</v>
      </c>
      <c r="N131">
        <f>L131-M131</f>
        <v>11</v>
      </c>
      <c r="P131">
        <f>N131-O131</f>
        <v>11</v>
      </c>
      <c r="R131">
        <f>P131-Q131</f>
        <v>11</v>
      </c>
      <c r="T131">
        <f>R131-S131</f>
        <v>11</v>
      </c>
      <c r="V131">
        <f>T131-U131</f>
        <v>11</v>
      </c>
      <c r="X131">
        <f>V131-W131</f>
        <v>11</v>
      </c>
      <c r="Z131">
        <f>X131-Y131</f>
        <v>11</v>
      </c>
      <c r="AB131">
        <f>Z131-AA131</f>
        <v>11</v>
      </c>
      <c r="AD131">
        <f>AB131-AC131</f>
        <v>11</v>
      </c>
      <c r="AF131">
        <f>AD131-AE131</f>
        <v>11</v>
      </c>
      <c r="AH131">
        <f>AF131-AG131</f>
        <v>11</v>
      </c>
      <c r="AJ131">
        <f>AH131-AI131</f>
        <v>11</v>
      </c>
      <c r="AL131">
        <f>AJ131-AK131</f>
        <v>11</v>
      </c>
      <c r="AN131">
        <f>AL131-AM131</f>
        <v>11</v>
      </c>
      <c r="AP131">
        <f>AN131-AO131</f>
        <v>11</v>
      </c>
      <c r="AR131">
        <f>AP131-AQ131</f>
        <v>11</v>
      </c>
      <c r="AT131">
        <f>AR131-AS131</f>
        <v>11</v>
      </c>
      <c r="AV131">
        <f>AT131-AU131</f>
        <v>11</v>
      </c>
      <c r="AX131">
        <f>AV131-AW131</f>
        <v>11</v>
      </c>
      <c r="AZ131" s="8">
        <f>AX131-AY131</f>
        <v>11</v>
      </c>
      <c r="BB131" s="21">
        <f>AY131+AW131+AU131+AS131+AQ131+AO131+AM131+AK131+AI131+AG131+AE131+AC131+AA131+Y131+W131+U131+S131+Q131+O131+M131+K131</f>
        <v>0</v>
      </c>
      <c r="BC131">
        <f>$BB131*D131</f>
        <v>0</v>
      </c>
      <c r="BD131">
        <f t="shared" ref="BD131" si="91">BC131*F131</f>
        <v>0</v>
      </c>
      <c r="BE131">
        <f t="shared" ref="BE131" si="92">BD131*G131</f>
        <v>0</v>
      </c>
      <c r="BF131" s="21">
        <f>$BB131*E131</f>
        <v>0</v>
      </c>
      <c r="BG131" s="21">
        <f>$BB131*H131</f>
        <v>0</v>
      </c>
    </row>
  </sheetData>
  <mergeCells count="40">
    <mergeCell ref="AD9:AE9"/>
    <mergeCell ref="AF9:AG9"/>
    <mergeCell ref="AH9:AI9"/>
    <mergeCell ref="AX9:AY9"/>
    <mergeCell ref="AL9:AM9"/>
    <mergeCell ref="AN9:AO9"/>
    <mergeCell ref="AP9:AQ9"/>
    <mergeCell ref="AR9:AS9"/>
    <mergeCell ref="AT9:AU9"/>
    <mergeCell ref="AV9:AW9"/>
    <mergeCell ref="BB8:BB9"/>
    <mergeCell ref="BC8:BG8"/>
    <mergeCell ref="AJ9:AK9"/>
    <mergeCell ref="B8:B10"/>
    <mergeCell ref="I8:AY8"/>
    <mergeCell ref="J9:K9"/>
    <mergeCell ref="L9:M9"/>
    <mergeCell ref="N9:O9"/>
    <mergeCell ref="P9:Q9"/>
    <mergeCell ref="R9:S9"/>
    <mergeCell ref="T9:U9"/>
    <mergeCell ref="V9:W9"/>
    <mergeCell ref="X9:Y9"/>
    <mergeCell ref="D8:H9"/>
    <mergeCell ref="Z9:AA9"/>
    <mergeCell ref="AB9:AC9"/>
    <mergeCell ref="X7:Y7"/>
    <mergeCell ref="AV7:AW7"/>
    <mergeCell ref="AT7:AU7"/>
    <mergeCell ref="AX7:AY7"/>
    <mergeCell ref="AJ7:AK7"/>
    <mergeCell ref="AL7:AM7"/>
    <mergeCell ref="AN7:AO7"/>
    <mergeCell ref="AP7:AQ7"/>
    <mergeCell ref="AR7:AS7"/>
    <mergeCell ref="Z7:AA7"/>
    <mergeCell ref="AB7:AC7"/>
    <mergeCell ref="AD7:AE7"/>
    <mergeCell ref="AF7:AG7"/>
    <mergeCell ref="AH7:AI7"/>
  </mergeCells>
  <pageMargins left="0.74803149606299213" right="0.74803149606299213" top="1.2795275590551181" bottom="1.2795275590551181" header="0.98385826771653528" footer="0.98385826771653528"/>
  <pageSetup paperSize="0" fitToWidth="0" fitToHeight="0" pageOrder="overThenDown" orientation="landscape" horizontalDpi="0" verticalDpi="0" copies="0"/>
  <headerFooter alignWithMargins="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F925D-A942-A14E-8E9E-B04E113AE527}">
  <dimension ref="A1:D6"/>
  <sheetViews>
    <sheetView workbookViewId="0">
      <selection activeCell="C21" sqref="C21"/>
    </sheetView>
  </sheetViews>
  <sheetFormatPr defaultColWidth="11.5546875" defaultRowHeight="15"/>
  <cols>
    <col min="3" max="3" width="35.88671875" customWidth="1"/>
  </cols>
  <sheetData>
    <row r="1" spans="1:4">
      <c r="A1" t="s">
        <v>128</v>
      </c>
      <c r="B1" t="s">
        <v>129</v>
      </c>
      <c r="C1" t="s">
        <v>130</v>
      </c>
      <c r="D1" t="s">
        <v>131</v>
      </c>
    </row>
    <row r="2" spans="1:4">
      <c r="A2" t="s">
        <v>132</v>
      </c>
      <c r="B2" t="s">
        <v>133</v>
      </c>
      <c r="C2" s="25" t="s">
        <v>134</v>
      </c>
      <c r="D2" t="str">
        <f>A2</f>
        <v>Oryna</v>
      </c>
    </row>
    <row r="3" spans="1:4">
      <c r="A3" t="s">
        <v>135</v>
      </c>
      <c r="B3" t="s">
        <v>136</v>
      </c>
      <c r="C3" s="25" t="s">
        <v>137</v>
      </c>
      <c r="D3" t="str">
        <f>A3</f>
        <v>Aziz</v>
      </c>
    </row>
    <row r="4" spans="1:4" ht="26.45">
      <c r="A4" t="s">
        <v>138</v>
      </c>
      <c r="B4" t="s">
        <v>139</v>
      </c>
      <c r="C4" s="24" t="s">
        <v>140</v>
      </c>
      <c r="D4" t="str">
        <f>A4</f>
        <v>Joana</v>
      </c>
    </row>
    <row r="5" spans="1:4" ht="15.6">
      <c r="A5" t="s">
        <v>141</v>
      </c>
      <c r="B5" s="23" t="s">
        <v>142</v>
      </c>
      <c r="C5" s="25" t="s">
        <v>143</v>
      </c>
      <c r="D5" t="str">
        <f>A5</f>
        <v>Kenny</v>
      </c>
    </row>
    <row r="6" spans="1:4">
      <c r="A6" t="s">
        <v>144</v>
      </c>
      <c r="B6" t="s">
        <v>145</v>
      </c>
      <c r="C6" s="25" t="s">
        <v>143</v>
      </c>
      <c r="D6" t="str">
        <f>A6</f>
        <v>Romuald</v>
      </c>
    </row>
  </sheetData>
  <hyperlinks>
    <hyperlink ref="C4" r:id="rId1" xr:uid="{E7EF9946-0298-4347-8A76-B8924A00D060}"/>
    <hyperlink ref="C5" r:id="rId2" xr:uid="{3422EB30-62BF-43D8-AD60-DD92AD767293}"/>
    <hyperlink ref="C6" r:id="rId3" xr:uid="{99A77FCC-C365-4DD8-B110-E56F2727D961}"/>
    <hyperlink ref="C3" r:id="rId4" xr:uid="{65264255-0AAC-4E46-853B-A415811531D5}"/>
    <hyperlink ref="C2" r:id="rId5" xr:uid="{D8AC5C4C-09D5-41EB-BF60-9D7930C7402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29A8D12096ED46A3790937988D24A3" ma:contentTypeVersion="14" ma:contentTypeDescription="Crée un document." ma:contentTypeScope="" ma:versionID="9339575d6199450f101934d89b2e57ff">
  <xsd:schema xmlns:xsd="http://www.w3.org/2001/XMLSchema" xmlns:xs="http://www.w3.org/2001/XMLSchema" xmlns:p="http://schemas.microsoft.com/office/2006/metadata/properties" xmlns:ns3="e7ad6d5a-a3f0-41ac-bc36-6c6da6294d16" xmlns:ns4="b8f228c5-dda9-4f34-945f-47e9c86a8caf" targetNamespace="http://schemas.microsoft.com/office/2006/metadata/properties" ma:root="true" ma:fieldsID="6c5822c7ab44f90a0108b93fcf8a67b8" ns3:_="" ns4:_="">
    <xsd:import namespace="e7ad6d5a-a3f0-41ac-bc36-6c6da6294d16"/>
    <xsd:import namespace="b8f228c5-dda9-4f34-945f-47e9c86a8ca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ad6d5a-a3f0-41ac-bc36-6c6da6294d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f228c5-dda9-4f34-945f-47e9c86a8caf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7ad6d5a-a3f0-41ac-bc36-6c6da6294d16" xsi:nil="true"/>
  </documentManagement>
</p:properties>
</file>

<file path=customXml/itemProps1.xml><?xml version="1.0" encoding="utf-8"?>
<ds:datastoreItem xmlns:ds="http://schemas.openxmlformats.org/officeDocument/2006/customXml" ds:itemID="{6F887B95-FAE6-4695-8C4D-F3512D12A3B4}"/>
</file>

<file path=customXml/itemProps2.xml><?xml version="1.0" encoding="utf-8"?>
<ds:datastoreItem xmlns:ds="http://schemas.openxmlformats.org/officeDocument/2006/customXml" ds:itemID="{D212E635-7778-412F-820D-BF6A4DC6BD8E}"/>
</file>

<file path=customXml/itemProps3.xml><?xml version="1.0" encoding="utf-8"?>
<ds:datastoreItem xmlns:ds="http://schemas.openxmlformats.org/officeDocument/2006/customXml" ds:itemID="{717779AB-3C0C-4FFE-B8C3-07CDFEE5A7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Marchenko Artem</dc:creator>
  <cp:keywords/>
  <dc:description/>
  <cp:lastModifiedBy/>
  <cp:revision>14</cp:revision>
  <dcterms:created xsi:type="dcterms:W3CDTF">2007-09-27T13:30:44Z</dcterms:created>
  <dcterms:modified xsi:type="dcterms:W3CDTF">2025-11-24T04:58:01Z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0x010100C429A8D12096ED46A3790937988D24A3</vt:lpwstr>
  </property>
</Properties>
</file>